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655" sheetId="1" r:id="rId4"/>
    <sheet state="visible" name="test" sheetId="2" r:id="rId5"/>
  </sheets>
  <definedNames>
    <definedName hidden="1" localSheetId="1" name="_xlnm._FilterDatabase">test!$A$1:$F$1290</definedName>
  </definedNames>
  <calcPr/>
</workbook>
</file>

<file path=xl/sharedStrings.xml><?xml version="1.0" encoding="utf-8"?>
<sst xmlns="http://schemas.openxmlformats.org/spreadsheetml/2006/main" count="7754" uniqueCount="5156">
  <si>
    <t>Kì</t>
  </si>
  <si>
    <t>Số 1</t>
  </si>
  <si>
    <t>Số 2</t>
  </si>
  <si>
    <t>Số 3</t>
  </si>
  <si>
    <t>Số 4</t>
  </si>
  <si>
    <t>Số 5</t>
  </si>
  <si>
    <t>Số 6</t>
  </si>
  <si>
    <t>Số Power</t>
  </si>
  <si>
    <t>Ngày sổ</t>
  </si>
  <si>
    <t>Giải J1</t>
  </si>
  <si>
    <t>Giải J2</t>
  </si>
  <si>
    <t>30.528.493.950</t>
  </si>
  <si>
    <t>3.058.721.550</t>
  </si>
  <si>
    <t>31.024.813.350</t>
  </si>
  <si>
    <t>3.113.868.150</t>
  </si>
  <si>
    <t>31.903.413.600</t>
  </si>
  <si>
    <t>3.211.490.400</t>
  </si>
  <si>
    <t>33.415.353.750</t>
  </si>
  <si>
    <t>3.379.483.750</t>
  </si>
  <si>
    <t>34.588.091.550</t>
  </si>
  <si>
    <t>3.509.787.950</t>
  </si>
  <si>
    <t>35.666.199.750</t>
  </si>
  <si>
    <t>3.629.577.750</t>
  </si>
  <si>
    <t>36.713.676.000</t>
  </si>
  <si>
    <t>3.745.964.000</t>
  </si>
  <si>
    <t>37.754.634.900</t>
  </si>
  <si>
    <t>3.861.626.100</t>
  </si>
  <si>
    <t>38.842.141.350</t>
  </si>
  <si>
    <t>3.982.460.150</t>
  </si>
  <si>
    <t>40.231.270.200</t>
  </si>
  <si>
    <t>4.136.807.800</t>
  </si>
  <si>
    <t>41.355.943.950</t>
  </si>
  <si>
    <t>4.261.771.550</t>
  </si>
  <si>
    <t>42.705.608.250</t>
  </si>
  <si>
    <t>4.411.734.250</t>
  </si>
  <si>
    <t>43.925.548.800</t>
  </si>
  <si>
    <t>4.547.283.200</t>
  </si>
  <si>
    <t>45.086.515.950</t>
  </si>
  <si>
    <t>4.676.279.550</t>
  </si>
  <si>
    <t>45.743.789.550</t>
  </si>
  <si>
    <t>4.749.309.950</t>
  </si>
  <si>
    <t>46.972.594.200</t>
  </si>
  <si>
    <t>4.885.843.800</t>
  </si>
  <si>
    <t>48.190.895.850</t>
  </si>
  <si>
    <t>5.021.210.650</t>
  </si>
  <si>
    <t>49.441.033.650</t>
  </si>
  <si>
    <t>5.160.114.850</t>
  </si>
  <si>
    <t>51.063.730.500</t>
  </si>
  <si>
    <t>5.340.414.500</t>
  </si>
  <si>
    <t>52.263.240.150</t>
  </si>
  <si>
    <t>5.473.693.350</t>
  </si>
  <si>
    <t>53.177.036.250</t>
  </si>
  <si>
    <t>5.575.226.250</t>
  </si>
  <si>
    <t>54.239.944.350</t>
  </si>
  <si>
    <t>5.693.327.150</t>
  </si>
  <si>
    <t>55.150.230.000</t>
  </si>
  <si>
    <t>5.794.470.000</t>
  </si>
  <si>
    <t>56.305.734.600</t>
  </si>
  <si>
    <t>3.128.389.400</t>
  </si>
  <si>
    <t>57.928.236.150</t>
  </si>
  <si>
    <t>3.308.667.350</t>
  </si>
  <si>
    <t>59.174.588.100</t>
  </si>
  <si>
    <t>3.447.150.900</t>
  </si>
  <si>
    <t>60.155.334.750</t>
  </si>
  <si>
    <t>3.556.122.750</t>
  </si>
  <si>
    <t>61.575.921.300</t>
  </si>
  <si>
    <t>3.713.965.700</t>
  </si>
  <si>
    <t>62.814.288.900</t>
  </si>
  <si>
    <t>3.851.562.100</t>
  </si>
  <si>
    <t>64.573.341.150</t>
  </si>
  <si>
    <t>4.047.012.350</t>
  </si>
  <si>
    <t>67.375.253.100</t>
  </si>
  <si>
    <t>4.358.335.900</t>
  </si>
  <si>
    <t>69.615.950.250</t>
  </si>
  <si>
    <t>4.607.302.250</t>
  </si>
  <si>
    <t>72.079.404.600</t>
  </si>
  <si>
    <t>4.881.019.400</t>
  </si>
  <si>
    <t>74.830.295.100</t>
  </si>
  <si>
    <t>5.186.673.900</t>
  </si>
  <si>
    <t>77.375.046.900</t>
  </si>
  <si>
    <t>5.469.424.100</t>
  </si>
  <si>
    <t>80.027.540.400</t>
  </si>
  <si>
    <t>5.764.145.600</t>
  </si>
  <si>
    <t>81.820.687.350</t>
  </si>
  <si>
    <t>3.199.238.550</t>
  </si>
  <si>
    <t>83.506.415.700</t>
  </si>
  <si>
    <t>3.187.303.150</t>
  </si>
  <si>
    <t>85.047.387.150</t>
  </si>
  <si>
    <t>3.358.522.200</t>
  </si>
  <si>
    <t>87.445.250.850</t>
  </si>
  <si>
    <t>3.624.951.500</t>
  </si>
  <si>
    <t>90.407.671.050</t>
  </si>
  <si>
    <t>3.954.109.300</t>
  </si>
  <si>
    <t>93.461.623.500</t>
  </si>
  <si>
    <t>4.293.437.350</t>
  </si>
  <si>
    <t>97.091.932.800</t>
  </si>
  <si>
    <t>4.696.805.050</t>
  </si>
  <si>
    <t>100.817.638.950</t>
  </si>
  <si>
    <t>5.110.772.400</t>
  </si>
  <si>
    <t>102.765.805.950</t>
  </si>
  <si>
    <t>3.216.463.000</t>
  </si>
  <si>
    <t>106.310.523.450</t>
  </si>
  <si>
    <t>3.610.320.500</t>
  </si>
  <si>
    <t>108.584.968.350</t>
  </si>
  <si>
    <t>3.252.716.100</t>
  </si>
  <si>
    <t>111.901.309.500</t>
  </si>
  <si>
    <t>3.621.198.450</t>
  </si>
  <si>
    <t>114.313.083.150</t>
  </si>
  <si>
    <t>3.267.974.850</t>
  </si>
  <si>
    <t>117.975.638.100</t>
  </si>
  <si>
    <t>3.674.925.400</t>
  </si>
  <si>
    <t>120.250.718.850</t>
  </si>
  <si>
    <t>3.252.786.750</t>
  </si>
  <si>
    <t>124.208.597.100</t>
  </si>
  <si>
    <t>3.692.551.000</t>
  </si>
  <si>
    <t>126.430.993.200</t>
  </si>
  <si>
    <t>3.246.932.900</t>
  </si>
  <si>
    <t>130.389.001.500</t>
  </si>
  <si>
    <t>3.686.711.600</t>
  </si>
  <si>
    <t>135.897.635.550</t>
  </si>
  <si>
    <t>4.298.782.050</t>
  </si>
  <si>
    <t>139.974.556.350</t>
  </si>
  <si>
    <t>4.751.773.250</t>
  </si>
  <si>
    <t>142.613.607.000</t>
  </si>
  <si>
    <t>3.293.227.850</t>
  </si>
  <si>
    <t>145.563.767.850</t>
  </si>
  <si>
    <t>3.327.795.650</t>
  </si>
  <si>
    <t>150.431.996.550</t>
  </si>
  <si>
    <t>3.868.709.950</t>
  </si>
  <si>
    <t>155.267.929.650</t>
  </si>
  <si>
    <t>4.406.035.850</t>
  </si>
  <si>
    <t>161.744.780.550</t>
  </si>
  <si>
    <t>5.125.685.950</t>
  </si>
  <si>
    <t>167.473.255.350</t>
  </si>
  <si>
    <t>5.762.183.150</t>
  </si>
  <si>
    <t>172.865.880.750</t>
  </si>
  <si>
    <t>6.361.363.750</t>
  </si>
  <si>
    <t>179.085.637.200</t>
  </si>
  <si>
    <t>7.052.447.800</t>
  </si>
  <si>
    <t>185.756.375.100</t>
  </si>
  <si>
    <t>7.793.640.900</t>
  </si>
  <si>
    <t>192.764.480.250</t>
  </si>
  <si>
    <t>8.572.319.250</t>
  </si>
  <si>
    <t>198.519.424.050</t>
  </si>
  <si>
    <t>3.639.438.200</t>
  </si>
  <si>
    <t>207.385.131.000</t>
  </si>
  <si>
    <t>4.624.516.750</t>
  </si>
  <si>
    <t>213.511.359.900</t>
  </si>
  <si>
    <t>3.680.692.100</t>
  </si>
  <si>
    <t>223.764.257.100</t>
  </si>
  <si>
    <t>4.819.902.900</t>
  </si>
  <si>
    <t>229.877.713.200</t>
  </si>
  <si>
    <t>3.679.272.900</t>
  </si>
  <si>
    <t>236.891.603.100</t>
  </si>
  <si>
    <t>3.779.321.100</t>
  </si>
  <si>
    <t>247.416.944.250</t>
  </si>
  <si>
    <t>4.948.803.450</t>
  </si>
  <si>
    <t>256.090.121.850</t>
  </si>
  <si>
    <t>5.912.489.850</t>
  </si>
  <si>
    <t>262.085.240.100</t>
  </si>
  <si>
    <t>3.666.124.250</t>
  </si>
  <si>
    <t>271.952.211.000</t>
  </si>
  <si>
    <t>4.762.454.350</t>
  </si>
  <si>
    <t>281.341.050.600</t>
  </si>
  <si>
    <t>5.805.658.750</t>
  </si>
  <si>
    <t>290.823.421.800</t>
  </si>
  <si>
    <t>6.859.255.550</t>
  </si>
  <si>
    <t>300.000.000.000</t>
  </si>
  <si>
    <t>10.505.465.350</t>
  </si>
  <si>
    <t>306.891.445.800</t>
  </si>
  <si>
    <t>3.765.716.200</t>
  </si>
  <si>
    <t>23.238.831.500</t>
  </si>
  <si>
    <t>13.248.804.500</t>
  </si>
  <si>
    <t>307.756.203.150</t>
  </si>
  <si>
    <t>3.861.800.350</t>
  </si>
  <si>
    <t>22.350.630.500</t>
  </si>
  <si>
    <t>307.948.444.500</t>
  </si>
  <si>
    <t>3.883.160.500</t>
  </si>
  <si>
    <t>316.828.524.450</t>
  </si>
  <si>
    <t>4.869.836.050</t>
  </si>
  <si>
    <t>324.942.454.200</t>
  </si>
  <si>
    <t>5.771.383.800</t>
  </si>
  <si>
    <t>40.973.178.500</t>
  </si>
  <si>
    <t>305.600.910.600</t>
  </si>
  <si>
    <t>3.622.323.400</t>
  </si>
  <si>
    <t>315.871.733.550</t>
  </si>
  <si>
    <t>4.763.525.950</t>
  </si>
  <si>
    <t>323.797.375.200</t>
  </si>
  <si>
    <t>5.644.152.800</t>
  </si>
  <si>
    <t>332.230.461.150</t>
  </si>
  <si>
    <t>6.581.162.350</t>
  </si>
  <si>
    <t>342.197.962.500</t>
  </si>
  <si>
    <t>7.688.662.500</t>
  </si>
  <si>
    <t>350.981.591.250</t>
  </si>
  <si>
    <t>8.664.621.250</t>
  </si>
  <si>
    <t>70.013.824.500</t>
  </si>
  <si>
    <t>306.583.901.400</t>
  </si>
  <si>
    <t>3.731.544.600</t>
  </si>
  <si>
    <t>314.502.409.200</t>
  </si>
  <si>
    <t>4.611.378.800</t>
  </si>
  <si>
    <t>321.738.459.600</t>
  </si>
  <si>
    <t>5.415.384.400</t>
  </si>
  <si>
    <t>37.377.430.000</t>
  </si>
  <si>
    <t>304.515.142.950</t>
  </si>
  <si>
    <t>3.501.682.550</t>
  </si>
  <si>
    <t>311.943.369.900</t>
  </si>
  <si>
    <t>4.327.041.100</t>
  </si>
  <si>
    <t>25.040.212.000</t>
  </si>
  <si>
    <t>7.207.922.000</t>
  </si>
  <si>
    <t>303.276.464.400</t>
  </si>
  <si>
    <t>3.364.051.600</t>
  </si>
  <si>
    <t>311.346.404.850</t>
  </si>
  <si>
    <t>4.260.711.650</t>
  </si>
  <si>
    <t>317.878.643.550</t>
  </si>
  <si>
    <t>4.986.515.950</t>
  </si>
  <si>
    <t>324.541.622.100</t>
  </si>
  <si>
    <t>5.726.846.900</t>
  </si>
  <si>
    <t>333.842.446.200</t>
  </si>
  <si>
    <t>6.760.271.800</t>
  </si>
  <si>
    <t>341.100.719.850</t>
  </si>
  <si>
    <t>7.566.746.650</t>
  </si>
  <si>
    <t>348.542.745.600</t>
  </si>
  <si>
    <t>8.393.638.400</t>
  </si>
  <si>
    <t>66.969.623.500</t>
  </si>
  <si>
    <t>7.032.403.500</t>
  </si>
  <si>
    <t>7.716.697.000</t>
  </si>
  <si>
    <t>305.150.984.400</t>
  </si>
  <si>
    <t>3.572.331.600</t>
  </si>
  <si>
    <t>311.383.703.550</t>
  </si>
  <si>
    <t>4.264.855.950</t>
  </si>
  <si>
    <t>317.750.310.300</t>
  </si>
  <si>
    <t>4.972.256.700</t>
  </si>
  <si>
    <t>323.711.172.750</t>
  </si>
  <si>
    <t>5.634.574.750</t>
  </si>
  <si>
    <t>36.846.222.000</t>
  </si>
  <si>
    <t>303.899.669.850</t>
  </si>
  <si>
    <t>3.433.296.650</t>
  </si>
  <si>
    <t>31.688.034.150</t>
  </si>
  <si>
    <t>3.620.856.000</t>
  </si>
  <si>
    <t>33.632.951.700</t>
  </si>
  <si>
    <t>3.836.957.950</t>
  </si>
  <si>
    <t>35.643.065.250</t>
  </si>
  <si>
    <t>4.060.303.900</t>
  </si>
  <si>
    <t>38.071.367.400</t>
  </si>
  <si>
    <t>4.330.115.250</t>
  </si>
  <si>
    <t>40.161.824.400</t>
  </si>
  <si>
    <t>3.232.273.000</t>
  </si>
  <si>
    <t>42.114.151.200</t>
  </si>
  <si>
    <t>3.449.198.200</t>
  </si>
  <si>
    <t>31.780.304.400</t>
  </si>
  <si>
    <t>3.647.009.800</t>
  </si>
  <si>
    <t>33.284.469.900</t>
  </si>
  <si>
    <t>3.167.129.500</t>
  </si>
  <si>
    <t>35.144.050.350</t>
  </si>
  <si>
    <t>3.373.749.550</t>
  </si>
  <si>
    <t>37.041.107.700</t>
  </si>
  <si>
    <t>3.584.533.700</t>
  </si>
  <si>
    <t>38.730.036.000</t>
  </si>
  <si>
    <t>3.772.192.400</t>
  </si>
  <si>
    <t>40.421.556.750</t>
  </si>
  <si>
    <t>3.187.946.750</t>
  </si>
  <si>
    <t>31.656.701.100</t>
  </si>
  <si>
    <t>3.372.024.650</t>
  </si>
  <si>
    <t>33.451.356.000</t>
  </si>
  <si>
    <t>3.571.430.750</t>
  </si>
  <si>
    <t>35.057.037.900</t>
  </si>
  <si>
    <t>3.749.839.850</t>
  </si>
  <si>
    <t>36.793.704.900</t>
  </si>
  <si>
    <t>3.942.802.850</t>
  </si>
  <si>
    <t>38.662.053.150</t>
  </si>
  <si>
    <t>4.150.397.100</t>
  </si>
  <si>
    <t>40.558.167.300</t>
  </si>
  <si>
    <t>3.210.679.350</t>
  </si>
  <si>
    <t>42.685.218.300</t>
  </si>
  <si>
    <t>3.447.018.350</t>
  </si>
  <si>
    <t>44.151.049.200</t>
  </si>
  <si>
    <t>3.609.888.450</t>
  </si>
  <si>
    <t>31.562.051.700</t>
  </si>
  <si>
    <t>3.783.449.750</t>
  </si>
  <si>
    <t>33.230.491.950</t>
  </si>
  <si>
    <t>3.968.832.000</t>
  </si>
  <si>
    <t>34.769.813.250</t>
  </si>
  <si>
    <t>3.171.035.700</t>
  </si>
  <si>
    <t>36.351.516.000</t>
  </si>
  <si>
    <t>3.346.780.450</t>
  </si>
  <si>
    <t>38.162.758.350</t>
  </si>
  <si>
    <t>3.548.029.600</t>
  </si>
  <si>
    <t>39.908.934.300</t>
  </si>
  <si>
    <t>3.742.049.150</t>
  </si>
  <si>
    <t>41.690.392.500</t>
  </si>
  <si>
    <t>3.939.988.950</t>
  </si>
  <si>
    <t>43.270.472.550</t>
  </si>
  <si>
    <t>3.175.564.450</t>
  </si>
  <si>
    <t>45.034.013.550</t>
  </si>
  <si>
    <t>3.371.513.450</t>
  </si>
  <si>
    <t>47.012.873.700</t>
  </si>
  <si>
    <t>3.591.386.800</t>
  </si>
  <si>
    <t>31.660.230.900</t>
  </si>
  <si>
    <t>3.775.856.900</t>
  </si>
  <si>
    <t>33.072.762.000</t>
  </si>
  <si>
    <t>3.932.804.800</t>
  </si>
  <si>
    <t>34.751.723.250</t>
  </si>
  <si>
    <t>4.119.356.050</t>
  </si>
  <si>
    <t>36.779.450.250</t>
  </si>
  <si>
    <t>4.344.659.050</t>
  </si>
  <si>
    <t>38.113.527.900</t>
  </si>
  <si>
    <t>4.492.889.900</t>
  </si>
  <si>
    <t>39.828.676.800</t>
  </si>
  <si>
    <t>4.683.462.000</t>
  </si>
  <si>
    <t>41.892.910.050</t>
  </si>
  <si>
    <t>3.229.359.250</t>
  </si>
  <si>
    <t>43.671.479.700</t>
  </si>
  <si>
    <t>3.426.978.100</t>
  </si>
  <si>
    <t>45.513.635.250</t>
  </si>
  <si>
    <t>3.631.662.050</t>
  </si>
  <si>
    <t>47.175.342.150</t>
  </si>
  <si>
    <t>3.184.634.100</t>
  </si>
  <si>
    <t>31.059.648.300</t>
  </si>
  <si>
    <t>3.302.372.800</t>
  </si>
  <si>
    <t>32.194.626.150</t>
  </si>
  <si>
    <t>3.428.481.450</t>
  </si>
  <si>
    <t>33.702.871.350</t>
  </si>
  <si>
    <t>3.596.064.250</t>
  </si>
  <si>
    <t>34.965.205.950</t>
  </si>
  <si>
    <t>3.140.259.400</t>
  </si>
  <si>
    <t>36.370.625.250</t>
  </si>
  <si>
    <t>3.156.157.700</t>
  </si>
  <si>
    <t>38.068.041.000</t>
  </si>
  <si>
    <t>3.188.601.750</t>
  </si>
  <si>
    <t>39.404.614.350</t>
  </si>
  <si>
    <t>3.337.109.900</t>
  </si>
  <si>
    <t>41.260.462.050</t>
  </si>
  <si>
    <t>3.543.315.200</t>
  </si>
  <si>
    <t>43.233.200.400</t>
  </si>
  <si>
    <t>3.762.508.350</t>
  </si>
  <si>
    <t>44.848.312.950</t>
  </si>
  <si>
    <t>3.941.965.300</t>
  </si>
  <si>
    <t>46.296.717.600</t>
  </si>
  <si>
    <t>4.102.899.150</t>
  </si>
  <si>
    <t>48.210.550.500</t>
  </si>
  <si>
    <t>4.315.547.250</t>
  </si>
  <si>
    <t>49.962.814.050</t>
  </si>
  <si>
    <t>4.510.243.200</t>
  </si>
  <si>
    <t>51.566.176.200</t>
  </si>
  <si>
    <t>4.688.394.550</t>
  </si>
  <si>
    <t>53.696.842.500</t>
  </si>
  <si>
    <t>4.925.135.250</t>
  </si>
  <si>
    <t>55.368.863.400</t>
  </si>
  <si>
    <t>5.110.915.350</t>
  </si>
  <si>
    <t>57.372.868.650</t>
  </si>
  <si>
    <t>5.333.582.600</t>
  </si>
  <si>
    <t>59.535.024.150</t>
  </si>
  <si>
    <t>3.240.239.500</t>
  </si>
  <si>
    <t>61.507.022.700</t>
  </si>
  <si>
    <t>3.459.350.450</t>
  </si>
  <si>
    <t>63.494.160.150</t>
  </si>
  <si>
    <t>3.680.143.500</t>
  </si>
  <si>
    <t>65.331.482.700</t>
  </si>
  <si>
    <t>3.884.290.450</t>
  </si>
  <si>
    <t>67.249.412.850</t>
  </si>
  <si>
    <t>3.213.103.350</t>
  </si>
  <si>
    <t>69.155.020.650</t>
  </si>
  <si>
    <t>3.211.734.200</t>
  </si>
  <si>
    <t>71.233.011.300</t>
  </si>
  <si>
    <t>3.442.622.050</t>
  </si>
  <si>
    <t>72.901.033.500</t>
  </si>
  <si>
    <t>3.627.957.850</t>
  </si>
  <si>
    <t>75.218.555.100</t>
  </si>
  <si>
    <t>3.885.460.250</t>
  </si>
  <si>
    <t>77.724.187.950</t>
  </si>
  <si>
    <t>4.163.863.900</t>
  </si>
  <si>
    <t>79.704.990.300</t>
  </si>
  <si>
    <t>4.383.953.050</t>
  </si>
  <si>
    <t>82.070.152.050</t>
  </si>
  <si>
    <t>4.646.748.800</t>
  </si>
  <si>
    <t>84.650.926.350</t>
  </si>
  <si>
    <t>4.933.501.500</t>
  </si>
  <si>
    <t>86.856.031.200</t>
  </si>
  <si>
    <t>3.245.011.650</t>
  </si>
  <si>
    <t>89.122.986.750</t>
  </si>
  <si>
    <t>3.496.895.600</t>
  </si>
  <si>
    <t>91.712.411.850</t>
  </si>
  <si>
    <t>3.784.609.500</t>
  </si>
  <si>
    <t>94.362.451.050</t>
  </si>
  <si>
    <t>4.079.058.300</t>
  </si>
  <si>
    <t>96.756.562.650</t>
  </si>
  <si>
    <t>4.345.070.700</t>
  </si>
  <si>
    <t>31.358.509.500</t>
  </si>
  <si>
    <t>4.496.016.200</t>
  </si>
  <si>
    <t>32.839.102.200</t>
  </si>
  <si>
    <t>4.660.526.500</t>
  </si>
  <si>
    <t>34.340.501.100</t>
  </si>
  <si>
    <t>4.827.348.600</t>
  </si>
  <si>
    <t>36.334.813.350</t>
  </si>
  <si>
    <t>5.048.938.850</t>
  </si>
  <si>
    <t>38.020.462.950</t>
  </si>
  <si>
    <t>5.236.233.250</t>
  </si>
  <si>
    <t>39.307.347.750</t>
  </si>
  <si>
    <t>3.142.987.200</t>
  </si>
  <si>
    <t>41.305.528.200</t>
  </si>
  <si>
    <t>3.365.007.250</t>
  </si>
  <si>
    <t>31.465.133.850</t>
  </si>
  <si>
    <t>3.527.799.900</t>
  </si>
  <si>
    <t>32.831.024.250</t>
  </si>
  <si>
    <t>3.679.565.500</t>
  </si>
  <si>
    <t>34.256.649.000</t>
  </si>
  <si>
    <t>3.837.968.250</t>
  </si>
  <si>
    <t>35.575.536.450</t>
  </si>
  <si>
    <t>3.984.511.300</t>
  </si>
  <si>
    <t>36.820.442.100</t>
  </si>
  <si>
    <t>3.138.322.850</t>
  </si>
  <si>
    <t>38.191.004.850</t>
  </si>
  <si>
    <t>3.290.607.600</t>
  </si>
  <si>
    <t>39.994.410.450</t>
  </si>
  <si>
    <t>3.200.378.400</t>
  </si>
  <si>
    <t>40.936.775.250</t>
  </si>
  <si>
    <t>3.305.085.600</t>
  </si>
  <si>
    <t>42.768.578.550</t>
  </si>
  <si>
    <t>3.508.619.300</t>
  </si>
  <si>
    <t>43.892.386.050</t>
  </si>
  <si>
    <t>3.633.486.800</t>
  </si>
  <si>
    <t>45.711.703.650</t>
  </si>
  <si>
    <t>3.835.633.200</t>
  </si>
  <si>
    <t>47.620.664.400</t>
  </si>
  <si>
    <t>4.047.739.950</t>
  </si>
  <si>
    <t>49.539.451.350</t>
  </si>
  <si>
    <t>4.260.938.500</t>
  </si>
  <si>
    <t>51.693.670.200</t>
  </si>
  <si>
    <t>4.500.296.150</t>
  </si>
  <si>
    <t>53.457.332.700</t>
  </si>
  <si>
    <t>3.195.962.500</t>
  </si>
  <si>
    <t>55.116.976.800</t>
  </si>
  <si>
    <t>3.380.367.400</t>
  </si>
  <si>
    <t>56.763.061.950</t>
  </si>
  <si>
    <t>3.563.265.750</t>
  </si>
  <si>
    <t>58.562.007.150</t>
  </si>
  <si>
    <t>3.763.148.550</t>
  </si>
  <si>
    <t>60.350.101.500</t>
  </si>
  <si>
    <t>3.198.677.150</t>
  </si>
  <si>
    <t>62.343.118.200</t>
  </si>
  <si>
    <t>3.420.123.450</t>
  </si>
  <si>
    <t>64.464.220.650</t>
  </si>
  <si>
    <t>3.655.801.500</t>
  </si>
  <si>
    <t>66.387.325.800</t>
  </si>
  <si>
    <t>3.213.678.350</t>
  </si>
  <si>
    <t>68.530.859.400</t>
  </si>
  <si>
    <t>3.451.848.750</t>
  </si>
  <si>
    <t>70.875.624.450</t>
  </si>
  <si>
    <t>3.260.529.450</t>
  </si>
  <si>
    <t>73.202.106.900</t>
  </si>
  <si>
    <t>3.519.027.500</t>
  </si>
  <si>
    <t>74.780.896.800</t>
  </si>
  <si>
    <t>3.175.421.100</t>
  </si>
  <si>
    <t>77.234.333.700</t>
  </si>
  <si>
    <t>3.448.025.200</t>
  </si>
  <si>
    <t>31.343.414.700</t>
  </si>
  <si>
    <t>3.597.293.500</t>
  </si>
  <si>
    <t>32.903.474.700</t>
  </si>
  <si>
    <t>3.770.633.500</t>
  </si>
  <si>
    <t>34.615.289.550</t>
  </si>
  <si>
    <t>3.960.835.150</t>
  </si>
  <si>
    <t>36.240.081.150</t>
  </si>
  <si>
    <t>4.141.367.550</t>
  </si>
  <si>
    <t>37.689.645.000</t>
  </si>
  <si>
    <t>4.302.430.200</t>
  </si>
  <si>
    <t>39.668.776.950</t>
  </si>
  <si>
    <t>4.522.333.750</t>
  </si>
  <si>
    <t>41.293.427.700</t>
  </si>
  <si>
    <t>4.702.850.500</t>
  </si>
  <si>
    <t>42.935.678.850</t>
  </si>
  <si>
    <t>4.885.322.850</t>
  </si>
  <si>
    <t>44.397.880.500</t>
  </si>
  <si>
    <t>5.047.789.700</t>
  </si>
  <si>
    <t>46.036.778.250</t>
  </si>
  <si>
    <t>5.229.889.450</t>
  </si>
  <si>
    <t>48.334.463.400</t>
  </si>
  <si>
    <t>5.485.187.800</t>
  </si>
  <si>
    <t>50.622.710.700</t>
  </si>
  <si>
    <t>5.739.437.500</t>
  </si>
  <si>
    <t>52.474.074.150</t>
  </si>
  <si>
    <t>5.945.144.550</t>
  </si>
  <si>
    <t>54.466.250.250</t>
  </si>
  <si>
    <t>6.166.497.450</t>
  </si>
  <si>
    <t>56.212.337.100</t>
  </si>
  <si>
    <t>6.360.507.100</t>
  </si>
  <si>
    <t>58.168.007.850</t>
  </si>
  <si>
    <t>3.217.296.750</t>
  </si>
  <si>
    <t>60.260.695.050</t>
  </si>
  <si>
    <t>3.449.817.550</t>
  </si>
  <si>
    <t>62.151.686.400</t>
  </si>
  <si>
    <t>3.659.927.700</t>
  </si>
  <si>
    <t>64.196.433.750</t>
  </si>
  <si>
    <t>3.227.194.150</t>
  </si>
  <si>
    <t>66.291.315.150</t>
  </si>
  <si>
    <t>3.459.958.750</t>
  </si>
  <si>
    <t>68.424.485.250</t>
  </si>
  <si>
    <t>3.696.977.650</t>
  </si>
  <si>
    <t>70.408.534.800</t>
  </si>
  <si>
    <t>3.917.427.600</t>
  </si>
  <si>
    <t>73.048.303.650</t>
  </si>
  <si>
    <t>3.293.307.650</t>
  </si>
  <si>
    <t>75.457.784.550</t>
  </si>
  <si>
    <t>3.267.720.100</t>
  </si>
  <si>
    <t>77.924.209.350</t>
  </si>
  <si>
    <t>3.274.047.200</t>
  </si>
  <si>
    <t>80.316.793.200</t>
  </si>
  <si>
    <t>3.539.889.850</t>
  </si>
  <si>
    <t>82.774.946.550</t>
  </si>
  <si>
    <t>3.813.018.000</t>
  </si>
  <si>
    <t>85.400.833.350</t>
  </si>
  <si>
    <t>4.104.783.200</t>
  </si>
  <si>
    <t>87.855.300.750</t>
  </si>
  <si>
    <t>4.377.501.800</t>
  </si>
  <si>
    <t>90.282.744.300</t>
  </si>
  <si>
    <t>3.269.715.950</t>
  </si>
  <si>
    <t>92.936.478.900</t>
  </si>
  <si>
    <t>3.564.575.350</t>
  </si>
  <si>
    <t>95.702.711.250</t>
  </si>
  <si>
    <t>3.307.359.150</t>
  </si>
  <si>
    <t>98.312.907.900</t>
  </si>
  <si>
    <t>3.597.381.000</t>
  </si>
  <si>
    <t>101.454.269.700</t>
  </si>
  <si>
    <t>3.349.040.200</t>
  </si>
  <si>
    <t>104.660.257.350</t>
  </si>
  <si>
    <t>3.705.261.050</t>
  </si>
  <si>
    <t>107.805.747.000</t>
  </si>
  <si>
    <t>3.349.498.850</t>
  </si>
  <si>
    <t>110.883.292.950</t>
  </si>
  <si>
    <t>3.691.448.400</t>
  </si>
  <si>
    <t>114.222.823.500</t>
  </si>
  <si>
    <t>4.062.507.350</t>
  </si>
  <si>
    <t>117.272.637.300</t>
  </si>
  <si>
    <t>4.401.375.550</t>
  </si>
  <si>
    <t>119.957.842.650</t>
  </si>
  <si>
    <t>4.699.731.700</t>
  </si>
  <si>
    <t>31.616.504.400</t>
  </si>
  <si>
    <t>3.179.611.600</t>
  </si>
  <si>
    <t>32.860.128.000</t>
  </si>
  <si>
    <t>3.317.792.000</t>
  </si>
  <si>
    <t>34.252.173.750</t>
  </si>
  <si>
    <t>3.472.463.750</t>
  </si>
  <si>
    <t>35.412.222.450</t>
  </si>
  <si>
    <t>3.601.358.050</t>
  </si>
  <si>
    <t>36.699.868.650</t>
  </si>
  <si>
    <t>3.744.429.850</t>
  </si>
  <si>
    <t>38.166.078.000</t>
  </si>
  <si>
    <t>3.907.342.000</t>
  </si>
  <si>
    <t>39.120.897.000</t>
  </si>
  <si>
    <t>3.106.091.000</t>
  </si>
  <si>
    <t>40.648.074.600</t>
  </si>
  <si>
    <t>3.275.777.400</t>
  </si>
  <si>
    <t>42.030.094.350</t>
  </si>
  <si>
    <t>3.429.335.150</t>
  </si>
  <si>
    <t>43.647.956.850</t>
  </si>
  <si>
    <t>3.609.097.650</t>
  </si>
  <si>
    <t>45.292.760.400</t>
  </si>
  <si>
    <t>3.791.853.600</t>
  </si>
  <si>
    <t>46.636.259.700</t>
  </si>
  <si>
    <t>3.941.131.300</t>
  </si>
  <si>
    <t>48.503.567.100</t>
  </si>
  <si>
    <t>4.148.609.900</t>
  </si>
  <si>
    <t>50.248.806.150</t>
  </si>
  <si>
    <t>4.342.525.350</t>
  </si>
  <si>
    <t>51.772.968.300</t>
  </si>
  <si>
    <t>4.511.876.700</t>
  </si>
  <si>
    <t>53.501.940.750</t>
  </si>
  <si>
    <t>3.192.108.050</t>
  </si>
  <si>
    <t>55.166.476.800</t>
  </si>
  <si>
    <t>3.377.056.500</t>
  </si>
  <si>
    <t>56.962.077.600</t>
  </si>
  <si>
    <t>3.576.567.700</t>
  </si>
  <si>
    <t>59.020.828.950</t>
  </si>
  <si>
    <t>3.805.317.850</t>
  </si>
  <si>
    <t>60.811.500.000</t>
  </si>
  <si>
    <t>4.004.281.300</t>
  </si>
  <si>
    <t>62.484.145.050</t>
  </si>
  <si>
    <t>4.190.130.750</t>
  </si>
  <si>
    <t>64.349.594.400</t>
  </si>
  <si>
    <t>4.397.402.900</t>
  </si>
  <si>
    <t>65.946.387.450</t>
  </si>
  <si>
    <t>3.177.421.450</t>
  </si>
  <si>
    <t>67.915.717.950</t>
  </si>
  <si>
    <t>3.396.235.950</t>
  </si>
  <si>
    <t>70.095.625.050</t>
  </si>
  <si>
    <t>3.638.447.850</t>
  </si>
  <si>
    <t>71.915.836.350</t>
  </si>
  <si>
    <t>3.840.693.550</t>
  </si>
  <si>
    <t>73.896.412.800</t>
  </si>
  <si>
    <t>4.060.757.600</t>
  </si>
  <si>
    <t>76.160.770.950</t>
  </si>
  <si>
    <t>4.312.352.950</t>
  </si>
  <si>
    <t>78.122.912.250</t>
  </si>
  <si>
    <t>4.530.368.650</t>
  </si>
  <si>
    <t>79.909.429.350</t>
  </si>
  <si>
    <t>3.198.501.900</t>
  </si>
  <si>
    <t>82.181.480.700</t>
  </si>
  <si>
    <t>3.450.952.050</t>
  </si>
  <si>
    <t>84.311.080.050</t>
  </si>
  <si>
    <t>3.687.574.200</t>
  </si>
  <si>
    <t>86.460.678.750</t>
  </si>
  <si>
    <t>3.926.418.500</t>
  </si>
  <si>
    <t>88.891.229.550</t>
  </si>
  <si>
    <t>4.196.479.700</t>
  </si>
  <si>
    <t>90.442.473.600</t>
  </si>
  <si>
    <t>4.368.840.150</t>
  </si>
  <si>
    <t>92.278.133.400</t>
  </si>
  <si>
    <t>3.203.962.200</t>
  </si>
  <si>
    <t>94.600.472.250</t>
  </si>
  <si>
    <t>3.461.999.850</t>
  </si>
  <si>
    <t>97.303.702.800</t>
  </si>
  <si>
    <t>3.762.358.800</t>
  </si>
  <si>
    <t>99.612.417.000</t>
  </si>
  <si>
    <t>4.018.882.600</t>
  </si>
  <si>
    <t>31.304.538.750</t>
  </si>
  <si>
    <t>3.144.948.750</t>
  </si>
  <si>
    <t>32.670.348.600</t>
  </si>
  <si>
    <t>3.296.705.400</t>
  </si>
  <si>
    <t>33.976.192.350</t>
  </si>
  <si>
    <t>3.441.799.150</t>
  </si>
  <si>
    <t>35.273.732.250</t>
  </si>
  <si>
    <t>3.585.970.250</t>
  </si>
  <si>
    <t>36.751.522.800</t>
  </si>
  <si>
    <t>3.750.169.200</t>
  </si>
  <si>
    <t>38.078.447.700</t>
  </si>
  <si>
    <t>3.897.605.300</t>
  </si>
  <si>
    <t>39.293.007.150</t>
  </si>
  <si>
    <t>4.032.556.350</t>
  </si>
  <si>
    <t>40.878.482.250</t>
  </si>
  <si>
    <t>3.176.163.900</t>
  </si>
  <si>
    <t>42.504.716.100</t>
  </si>
  <si>
    <t>3.356.856.550</t>
  </si>
  <si>
    <t>43.839.772.950</t>
  </si>
  <si>
    <t>3.505.196.200</t>
  </si>
  <si>
    <t>45.290.687.700</t>
  </si>
  <si>
    <t>3.666.408.950</t>
  </si>
  <si>
    <t>46.901.064.450</t>
  </si>
  <si>
    <t>3.845.339.700</t>
  </si>
  <si>
    <t>48.546.543.000</t>
  </si>
  <si>
    <t>4.028.170.650</t>
  </si>
  <si>
    <t>49.866.250.350</t>
  </si>
  <si>
    <t>4.174.804.800</t>
  </si>
  <si>
    <t>51.577.194.000</t>
  </si>
  <si>
    <t>3.190.104.850</t>
  </si>
  <si>
    <t>53.375.693.250</t>
  </si>
  <si>
    <t>3.389.938.100</t>
  </si>
  <si>
    <t>54.916.559.850</t>
  </si>
  <si>
    <t>3.561.145.500</t>
  </si>
  <si>
    <t>56.692.930.350</t>
  </si>
  <si>
    <t>3.758.520.000</t>
  </si>
  <si>
    <t>58.394.904.150</t>
  </si>
  <si>
    <t>3.947.628.200</t>
  </si>
  <si>
    <t>60.028.396.500</t>
  </si>
  <si>
    <t>4.129.127.350</t>
  </si>
  <si>
    <t>61.549.528.800</t>
  </si>
  <si>
    <t>4.298.142.050</t>
  </si>
  <si>
    <t>62.861.898.900</t>
  </si>
  <si>
    <t>4.443.960.950</t>
  </si>
  <si>
    <t>64.475.576.850</t>
  </si>
  <si>
    <t>3.179.297.550</t>
  </si>
  <si>
    <t>66.202.794.750</t>
  </si>
  <si>
    <t>3.191.913.100</t>
  </si>
  <si>
    <t>67.885.940.550</t>
  </si>
  <si>
    <t>3.378.929.300</t>
  </si>
  <si>
    <t>69.277.580.400</t>
  </si>
  <si>
    <t>3.533.555.950</t>
  </si>
  <si>
    <t>70.806.645.750</t>
  </si>
  <si>
    <t>3.703.452.100</t>
  </si>
  <si>
    <t>72.724.240.650</t>
  </si>
  <si>
    <t>3.916.518.200</t>
  </si>
  <si>
    <t>74.541.701.100</t>
  </si>
  <si>
    <t>4.118.458.250</t>
  </si>
  <si>
    <t>76.640.721.150</t>
  </si>
  <si>
    <t>4.351.682.700</t>
  </si>
  <si>
    <t>78.968.804.250</t>
  </si>
  <si>
    <t>4.610.358.600</t>
  </si>
  <si>
    <t>80.834.053.800</t>
  </si>
  <si>
    <t>3.207.249.950</t>
  </si>
  <si>
    <t>31.371.899.700</t>
  </si>
  <si>
    <t>3.359.683.250</t>
  </si>
  <si>
    <t>32.751.516.900</t>
  </si>
  <si>
    <t>3.153.290.800</t>
  </si>
  <si>
    <t>34.070.500.650</t>
  </si>
  <si>
    <t>3.299.844.550</t>
  </si>
  <si>
    <t>35.556.777.750</t>
  </si>
  <si>
    <t>3.464.986.450</t>
  </si>
  <si>
    <t>36.880.715.100</t>
  </si>
  <si>
    <t>3.612.090.600</t>
  </si>
  <si>
    <t>38.474.598.450</t>
  </si>
  <si>
    <t>3.789.188.750</t>
  </si>
  <si>
    <t>39.917.681.400</t>
  </si>
  <si>
    <t>3.949.531.300</t>
  </si>
  <si>
    <t>41.541.604.500</t>
  </si>
  <si>
    <t>4.129.967.200</t>
  </si>
  <si>
    <t>42.764.346.750</t>
  </si>
  <si>
    <t>4.265.827.450</t>
  </si>
  <si>
    <t>44.324.971.050</t>
  </si>
  <si>
    <t>4.439.230.150</t>
  </si>
  <si>
    <t>46.241.529.150</t>
  </si>
  <si>
    <t>4.652.181.050</t>
  </si>
  <si>
    <t>48.060.708.600</t>
  </si>
  <si>
    <t>4.854.312.100</t>
  </si>
  <si>
    <t>49.723.313.700</t>
  </si>
  <si>
    <t>5.039.046.000</t>
  </si>
  <si>
    <t>51.547.657.800</t>
  </si>
  <si>
    <t>5.241.750.900</t>
  </si>
  <si>
    <t>53.142.153.150</t>
  </si>
  <si>
    <t>3.177.166.150</t>
  </si>
  <si>
    <t>55.018.617.150</t>
  </si>
  <si>
    <t>3.385.662.150</t>
  </si>
  <si>
    <t>56.779.236.300</t>
  </si>
  <si>
    <t>3.581.286.500</t>
  </si>
  <si>
    <t>58.593.943.200</t>
  </si>
  <si>
    <t>3.782.920.600</t>
  </si>
  <si>
    <t>60.416.984.100</t>
  </si>
  <si>
    <t>3.985.480.700</t>
  </si>
  <si>
    <t>62.562.161.550</t>
  </si>
  <si>
    <t>4.223.833.750</t>
  </si>
  <si>
    <t>64.726.581.900</t>
  </si>
  <si>
    <t>4.464.324.900</t>
  </si>
  <si>
    <t>66.837.919.800</t>
  </si>
  <si>
    <t>4.698.918.000</t>
  </si>
  <si>
    <t>68.962.775.250</t>
  </si>
  <si>
    <t>1.645.004.350</t>
  </si>
  <si>
    <t>70.845.145.500</t>
  </si>
  <si>
    <t>3.209.152.250</t>
  </si>
  <si>
    <t>72.655.918.050</t>
  </si>
  <si>
    <t>3.201.196.950</t>
  </si>
  <si>
    <t>75.051.358.950</t>
  </si>
  <si>
    <t>3.467.357.050</t>
  </si>
  <si>
    <t>76.939.767.750</t>
  </si>
  <si>
    <t>3.677.180.250</t>
  </si>
  <si>
    <t>78.697.118.100</t>
  </si>
  <si>
    <t>3.872.441.400</t>
  </si>
  <si>
    <t>81.294.373.650</t>
  </si>
  <si>
    <t>4.161.025.350</t>
  </si>
  <si>
    <t>83.862.112.800</t>
  </si>
  <si>
    <t>4.446.329.700</t>
  </si>
  <si>
    <t>86.361.737.250</t>
  </si>
  <si>
    <t>4.724.065.750</t>
  </si>
  <si>
    <t>88.681.195.200</t>
  </si>
  <si>
    <t>3.257.717.550</t>
  </si>
  <si>
    <t>91.007.696.550</t>
  </si>
  <si>
    <t>3.516.217.700</t>
  </si>
  <si>
    <t>93.381.149.550</t>
  </si>
  <si>
    <t>3.779.934.700</t>
  </si>
  <si>
    <t>96.266.883.900</t>
  </si>
  <si>
    <t>4.100.571.850</t>
  </si>
  <si>
    <t>98.509.997.550</t>
  </si>
  <si>
    <t>3.249.234.850</t>
  </si>
  <si>
    <t>101.245.855.800</t>
  </si>
  <si>
    <t>3.553.219.100</t>
  </si>
  <si>
    <t>105.104.974.350</t>
  </si>
  <si>
    <t>3.982.010.050</t>
  </si>
  <si>
    <t>108.639.141.150</t>
  </si>
  <si>
    <t>4.374.695.250</t>
  </si>
  <si>
    <t>111.099.202.950</t>
  </si>
  <si>
    <t>4.648.035.450</t>
  </si>
  <si>
    <t>31.673.873.550</t>
  </si>
  <si>
    <t>4.834.021.400</t>
  </si>
  <si>
    <t>33.409.526.250</t>
  </si>
  <si>
    <t>5.026.871.700</t>
  </si>
  <si>
    <t>34.734.762.300</t>
  </si>
  <si>
    <t>5.174.120.150</t>
  </si>
  <si>
    <t>36.634.873.800</t>
  </si>
  <si>
    <t>5.385.243.650</t>
  </si>
  <si>
    <t>38.298.729.900</t>
  </si>
  <si>
    <t>5.570.116.550</t>
  </si>
  <si>
    <t>40.085.895.450</t>
  </si>
  <si>
    <t>5.768.690.500</t>
  </si>
  <si>
    <t>42.441.754.800</t>
  </si>
  <si>
    <t>6.030.452.650</t>
  </si>
  <si>
    <t>44.100.944.850</t>
  </si>
  <si>
    <t>3.184.354.450</t>
  </si>
  <si>
    <t>45.952.786.650</t>
  </si>
  <si>
    <t>3.390.114.650</t>
  </si>
  <si>
    <t>47.938.521.450</t>
  </si>
  <si>
    <t>3.610.751.850</t>
  </si>
  <si>
    <t>49.743.734.700</t>
  </si>
  <si>
    <t>3.200.579.250</t>
  </si>
  <si>
    <t>52.092.567.750</t>
  </si>
  <si>
    <t>3.461.560.700</t>
  </si>
  <si>
    <t>53.881.925.250</t>
  </si>
  <si>
    <t>3.660.378.200</t>
  </si>
  <si>
    <t>55.406.377.200</t>
  </si>
  <si>
    <t>3.169.383.550</t>
  </si>
  <si>
    <t>57.387.718.200</t>
  </si>
  <si>
    <t>3.389.532.550</t>
  </si>
  <si>
    <t>59.497.631.400</t>
  </si>
  <si>
    <t>3.623.967.350</t>
  </si>
  <si>
    <t>61.707.788.850</t>
  </si>
  <si>
    <t>3.869.540.400</t>
  </si>
  <si>
    <t>64.111.378.350</t>
  </si>
  <si>
    <t>4.136.605.900</t>
  </si>
  <si>
    <t>66.299.572.650</t>
  </si>
  <si>
    <t>4.379.738.600</t>
  </si>
  <si>
    <t>68.557.422.900</t>
  </si>
  <si>
    <t>4.630.610.850</t>
  </si>
  <si>
    <t>71.004.697.950</t>
  </si>
  <si>
    <t>4.902.530.300</t>
  </si>
  <si>
    <t>73.148.581.650</t>
  </si>
  <si>
    <t>5.140.739.600</t>
  </si>
  <si>
    <t>75.711.825.300</t>
  </si>
  <si>
    <t>5.425.544.450</t>
  </si>
  <si>
    <t>80.559.793.650</t>
  </si>
  <si>
    <t>5.964.207.600</t>
  </si>
  <si>
    <t>83.145.846.450</t>
  </si>
  <si>
    <t>3.287.339.200</t>
  </si>
  <si>
    <t>87.411.418.500</t>
  </si>
  <si>
    <t>3.761.291.650</t>
  </si>
  <si>
    <t>89.968.227.600</t>
  </si>
  <si>
    <t>3.284.089.900</t>
  </si>
  <si>
    <t>93.827.290.800</t>
  </si>
  <si>
    <t>3.712.874.700</t>
  </si>
  <si>
    <t>98.660.027.100</t>
  </si>
  <si>
    <t>4.249.845.400</t>
  </si>
  <si>
    <t>104.401.521.300</t>
  </si>
  <si>
    <t>4.887.789.200</t>
  </si>
  <si>
    <t>110.372.538.000</t>
  </si>
  <si>
    <t>5.551.235.500</t>
  </si>
  <si>
    <t>116.918.632.650</t>
  </si>
  <si>
    <t>6.278.579.350</t>
  </si>
  <si>
    <t>123.683.187.000</t>
  </si>
  <si>
    <t>7.030.196.500</t>
  </si>
  <si>
    <t>130.391.512.500</t>
  </si>
  <si>
    <t>7.775.566.000</t>
  </si>
  <si>
    <t>137.578.088.550</t>
  </si>
  <si>
    <t>8.574.074.450</t>
  </si>
  <si>
    <t>143.369.946.750</t>
  </si>
  <si>
    <t>3.643.539.800</t>
  </si>
  <si>
    <t>147.103.949.100</t>
  </si>
  <si>
    <t>3.414.889.150</t>
  </si>
  <si>
    <t>153.880.578.750</t>
  </si>
  <si>
    <t>4.167.848.001</t>
  </si>
  <si>
    <t>157.535.203.350</t>
  </si>
  <si>
    <t>3.406.069.400</t>
  </si>
  <si>
    <t>163.627.248.450</t>
  </si>
  <si>
    <t>4.082.963.300</t>
  </si>
  <si>
    <t>171.117.842.250</t>
  </si>
  <si>
    <t>4.915.251.500</t>
  </si>
  <si>
    <t>175.919.619.900</t>
  </si>
  <si>
    <t>3.533.530.850</t>
  </si>
  <si>
    <t>183.593.994.150</t>
  </si>
  <si>
    <t>4.386.239.100</t>
  </si>
  <si>
    <t>192.141.839.100</t>
  </si>
  <si>
    <t>5.335.999.650</t>
  </si>
  <si>
    <t>31.171.245.600</t>
  </si>
  <si>
    <t>5.466.138.050</t>
  </si>
  <si>
    <t>32.685.784.500</t>
  </si>
  <si>
    <t>5.634.420.150</t>
  </si>
  <si>
    <t>34.151.397.600</t>
  </si>
  <si>
    <t>5.797.266.050</t>
  </si>
  <si>
    <t>35.786.056.800</t>
  </si>
  <si>
    <t>5.978.894.850</t>
  </si>
  <si>
    <t>37.457.550.750</t>
  </si>
  <si>
    <t>6.164.616.400</t>
  </si>
  <si>
    <t>39.110.032.200</t>
  </si>
  <si>
    <t>6.348.225.450</t>
  </si>
  <si>
    <t>40.722.802.950</t>
  </si>
  <si>
    <t>6.527.422.200</t>
  </si>
  <si>
    <t>42.364.771.950</t>
  </si>
  <si>
    <t>6.709.863.200</t>
  </si>
  <si>
    <t>44.372.894.250</t>
  </si>
  <si>
    <t>6.932.987.900</t>
  </si>
  <si>
    <t>45.728.364.900</t>
  </si>
  <si>
    <t>7.083.595.750</t>
  </si>
  <si>
    <t>47.236.049.400</t>
  </si>
  <si>
    <t>7.251.116.250</t>
  </si>
  <si>
    <t>49.186.580.250</t>
  </si>
  <si>
    <t>3.216.725.650</t>
  </si>
  <si>
    <t>50.713.813.200</t>
  </si>
  <si>
    <t>3.386.418.200</t>
  </si>
  <si>
    <t>52.151.425.050</t>
  </si>
  <si>
    <t>3.546.152.850</t>
  </si>
  <si>
    <t>53.852.086.200</t>
  </si>
  <si>
    <t>3.735.115.200</t>
  </si>
  <si>
    <t>54.952.073.850</t>
  </si>
  <si>
    <t>3.122.220.850</t>
  </si>
  <si>
    <t>56.914.961.250</t>
  </si>
  <si>
    <t>3.218.098.600</t>
  </si>
  <si>
    <t>58.805.962.050</t>
  </si>
  <si>
    <t>3.428.209.800</t>
  </si>
  <si>
    <t>60.472.186.950</t>
  </si>
  <si>
    <t>3.613.345.900</t>
  </si>
  <si>
    <t>62.496.583.500</t>
  </si>
  <si>
    <t>3.224.932.950</t>
  </si>
  <si>
    <t>64.312.813.650</t>
  </si>
  <si>
    <t>3.426.736.300</t>
  </si>
  <si>
    <t>66.366.603.300</t>
  </si>
  <si>
    <t>3.654.935.150</t>
  </si>
  <si>
    <t>68.149.331.400</t>
  </si>
  <si>
    <t>3.853.016.050</t>
  </si>
  <si>
    <t>70.362.637.500</t>
  </si>
  <si>
    <t>3.245.922.900</t>
  </si>
  <si>
    <t>72.401.479.950</t>
  </si>
  <si>
    <t>3.472.460.950</t>
  </si>
  <si>
    <t>74.543.157.300</t>
  </si>
  <si>
    <t>3.237.964.150</t>
  </si>
  <si>
    <t>77.917.521.900</t>
  </si>
  <si>
    <t>3.612.893.550</t>
  </si>
  <si>
    <t>82.008.822.450</t>
  </si>
  <si>
    <t>4.067.482.500</t>
  </si>
  <si>
    <t>86.441.982.150</t>
  </si>
  <si>
    <t>4.560.055.800</t>
  </si>
  <si>
    <t>91.825.726.800</t>
  </si>
  <si>
    <t>5.158.249.650</t>
  </si>
  <si>
    <t>97.175.363.250</t>
  </si>
  <si>
    <t>5.752.653.700</t>
  </si>
  <si>
    <t>102.347.224.500</t>
  </si>
  <si>
    <t>6.327.304.950</t>
  </si>
  <si>
    <t>108.125.269.950</t>
  </si>
  <si>
    <t>6.969.310.000</t>
  </si>
  <si>
    <t>31.179.786.600</t>
  </si>
  <si>
    <t>3.131.087.400</t>
  </si>
  <si>
    <t>32.664.333.450</t>
  </si>
  <si>
    <t>3.296.037.050</t>
  </si>
  <si>
    <t>34.160.517.300</t>
  </si>
  <si>
    <t>3.462.279.700</t>
  </si>
  <si>
    <t>35.484.039.300</t>
  </si>
  <si>
    <t>3.609.337.700</t>
  </si>
  <si>
    <t>36.344.638.200</t>
  </si>
  <si>
    <t>3.704.959.800</t>
  </si>
  <si>
    <t>37.842.198.150</t>
  </si>
  <si>
    <t>3.166.395.550</t>
  </si>
  <si>
    <t>39.086.174.100</t>
  </si>
  <si>
    <t>3.304.615.100</t>
  </si>
  <si>
    <t>40.602.347.850</t>
  </si>
  <si>
    <t>3.473.078.850</t>
  </si>
  <si>
    <t>31.594.148.400</t>
  </si>
  <si>
    <t>3.650.206.450</t>
  </si>
  <si>
    <t>33.007.974.150</t>
  </si>
  <si>
    <t>3.807.298.200</t>
  </si>
  <si>
    <t>34.552.193.700</t>
  </si>
  <si>
    <t>3.978.878.150</t>
  </si>
  <si>
    <t>36.268.263.300</t>
  </si>
  <si>
    <t>4.169.552.550</t>
  </si>
  <si>
    <t>37.860.972.150</t>
  </si>
  <si>
    <t>4.346.520.200</t>
  </si>
  <si>
    <t>39.735.698.700</t>
  </si>
  <si>
    <t>3.208.302.950</t>
  </si>
  <si>
    <t>41.084.669.100</t>
  </si>
  <si>
    <t>3.358.188.550</t>
  </si>
  <si>
    <t>42.646.878.750</t>
  </si>
  <si>
    <t>3.531.767.400</t>
  </si>
  <si>
    <t>44.505.977.700</t>
  </si>
  <si>
    <t>3.738.333.950</t>
  </si>
  <si>
    <t>46.002.032.400</t>
  </si>
  <si>
    <t>3.166.228.300</t>
  </si>
  <si>
    <t>47.710.641.000</t>
  </si>
  <si>
    <t>3.356.073.700</t>
  </si>
  <si>
    <t>49.600.925.850</t>
  </si>
  <si>
    <t>3.210.031.650</t>
  </si>
  <si>
    <t>51.498.833.700</t>
  </si>
  <si>
    <t>3.420.910.300</t>
  </si>
  <si>
    <t>53.115.328.650</t>
  </si>
  <si>
    <t>3.600.520.850</t>
  </si>
  <si>
    <t>54.648.797.700</t>
  </si>
  <si>
    <t>3.170.385.450</t>
  </si>
  <si>
    <t>56.419.684.950</t>
  </si>
  <si>
    <t>3.367.150.700</t>
  </si>
  <si>
    <t>58.170.711.000</t>
  </si>
  <si>
    <t>3.561.709.150</t>
  </si>
  <si>
    <t>59.665.659.600</t>
  </si>
  <si>
    <t>3.166.105.400</t>
  </si>
  <si>
    <t>31.064.969.100</t>
  </si>
  <si>
    <t>3.284.435.300</t>
  </si>
  <si>
    <t>32.504.337.750</t>
  </si>
  <si>
    <t>3.444.365.150</t>
  </si>
  <si>
    <t>34.116.310.200</t>
  </si>
  <si>
    <t>3.623.473.200</t>
  </si>
  <si>
    <t>35.567.089.050</t>
  </si>
  <si>
    <t>3.784.670.850</t>
  </si>
  <si>
    <t>37.248.098.700</t>
  </si>
  <si>
    <t>3.971.449.700</t>
  </si>
  <si>
    <t>38.731.559.700</t>
  </si>
  <si>
    <t>3.164.829.000</t>
  </si>
  <si>
    <t>40.405.919.700</t>
  </si>
  <si>
    <t>3.350.869.000</t>
  </si>
  <si>
    <t>41.911.723.200</t>
  </si>
  <si>
    <t>3.518.180.500</t>
  </si>
  <si>
    <t>43.877.979.750</t>
  </si>
  <si>
    <t>3.736.653.450</t>
  </si>
  <si>
    <t>45.421.905.900</t>
  </si>
  <si>
    <t>3.171.547.350</t>
  </si>
  <si>
    <t>47.360.481.150</t>
  </si>
  <si>
    <t>3.386.944.600</t>
  </si>
  <si>
    <t>49.181.031.300</t>
  </si>
  <si>
    <t>3.589.227.950</t>
  </si>
  <si>
    <t>50.690.711.550</t>
  </si>
  <si>
    <t>3.167.742.250</t>
  </si>
  <si>
    <t>31.074.947.850</t>
  </si>
  <si>
    <t>3.287.180.900</t>
  </si>
  <si>
    <t>31.591.665.750</t>
  </si>
  <si>
    <t>3.464.032.650</t>
  </si>
  <si>
    <t>32.835.526.500</t>
  </si>
  <si>
    <t>3.602.239.400</t>
  </si>
  <si>
    <t>34.338.855.450</t>
  </si>
  <si>
    <t>3.769.275.950</t>
  </si>
  <si>
    <t>36.119.658.000</t>
  </si>
  <si>
    <t>3.967.142.900</t>
  </si>
  <si>
    <t>37.909.410.600</t>
  </si>
  <si>
    <t>4.166.004.300</t>
  </si>
  <si>
    <t>39.485.472.600</t>
  </si>
  <si>
    <t>3.175.118.000</t>
  </si>
  <si>
    <t>41.486.427.300</t>
  </si>
  <si>
    <t>3.397.446.300</t>
  </si>
  <si>
    <t>42.989.314.350</t>
  </si>
  <si>
    <t>3.564.433.750</t>
  </si>
  <si>
    <t>44.600.432.700</t>
  </si>
  <si>
    <t>3.743.446.900</t>
  </si>
  <si>
    <t>46.305.971.850</t>
  </si>
  <si>
    <t>3.932.951.250</t>
  </si>
  <si>
    <t>48.189.077.850</t>
  </si>
  <si>
    <t>4.142.185.250</t>
  </si>
  <si>
    <t>50.218.452.300</t>
  </si>
  <si>
    <t>4.367.671.300</t>
  </si>
  <si>
    <t>51.943.715.400</t>
  </si>
  <si>
    <t>4.559.367.200</t>
  </si>
  <si>
    <t>53.773.203.000</t>
  </si>
  <si>
    <t>3.203.276.400</t>
  </si>
  <si>
    <t>55.474.428.900</t>
  </si>
  <si>
    <t>3.189.025.100</t>
  </si>
  <si>
    <t>57.898.541.550</t>
  </si>
  <si>
    <t>3.458.370.950</t>
  </si>
  <si>
    <t>59.943.824.400</t>
  </si>
  <si>
    <t>3.227.253.650</t>
  </si>
  <si>
    <t>62.117.400.450</t>
  </si>
  <si>
    <t>3.241.508.450</t>
  </si>
  <si>
    <t>64.462.833.300</t>
  </si>
  <si>
    <t>3.502.112.100</t>
  </si>
  <si>
    <t>66.665.164.800</t>
  </si>
  <si>
    <t>3.746.815.600</t>
  </si>
  <si>
    <t>69.054.094.650</t>
  </si>
  <si>
    <t>4.012.252.250</t>
  </si>
  <si>
    <t>71.329.160.100</t>
  </si>
  <si>
    <t>4.265.037.300</t>
  </si>
  <si>
    <t>73.684.926.750</t>
  </si>
  <si>
    <t>3.261.751.850</t>
  </si>
  <si>
    <t>76.465.061.400</t>
  </si>
  <si>
    <t>3.570.655.700</t>
  </si>
  <si>
    <t>79.249.782.900</t>
  </si>
  <si>
    <t>3.309.413.500</t>
  </si>
  <si>
    <t>81.778.372.050</t>
  </si>
  <si>
    <t>3.590.367.850</t>
  </si>
  <si>
    <t>31.214.532.450</t>
  </si>
  <si>
    <t>3.725.315.900</t>
  </si>
  <si>
    <t>32.887.708.950</t>
  </si>
  <si>
    <t>3.911.224.400</t>
  </si>
  <si>
    <t>34.330.228.050</t>
  </si>
  <si>
    <t>3.160.279.900</t>
  </si>
  <si>
    <t>31.590.120.000</t>
  </si>
  <si>
    <t>3.336.959.900</t>
  </si>
  <si>
    <t>33.350.143.800</t>
  </si>
  <si>
    <t>3.532.518.100</t>
  </si>
  <si>
    <t>35.114.389.950</t>
  </si>
  <si>
    <t>3.728.545.450</t>
  </si>
  <si>
    <t>36.663.441.600</t>
  </si>
  <si>
    <t>3.900.662.300</t>
  </si>
  <si>
    <t>38.752.446.450</t>
  </si>
  <si>
    <t>4.132.773.950</t>
  </si>
  <si>
    <t>40.652.627.700</t>
  </si>
  <si>
    <t>4.343.905.200</t>
  </si>
  <si>
    <t>42.744.858.150</t>
  </si>
  <si>
    <t>4.576.375.250</t>
  </si>
  <si>
    <t>44.953.625.550</t>
  </si>
  <si>
    <t>4.821.793.850</t>
  </si>
  <si>
    <t>47.149.347.450</t>
  </si>
  <si>
    <t>5.065.762.950</t>
  </si>
  <si>
    <t>49.303.866.450</t>
  </si>
  <si>
    <t>5.305.153.950</t>
  </si>
  <si>
    <t>51.862.051.650</t>
  </si>
  <si>
    <t>5.589.396.750</t>
  </si>
  <si>
    <t>54.561.200.700</t>
  </si>
  <si>
    <t>5.889.302.200</t>
  </si>
  <si>
    <t>57.142.434.000</t>
  </si>
  <si>
    <t>6.176.105.900</t>
  </si>
  <si>
    <t>59.715.062.850</t>
  </si>
  <si>
    <t>3.285.847.650</t>
  </si>
  <si>
    <t>62.441.824.800</t>
  </si>
  <si>
    <t>3.588.821.200</t>
  </si>
  <si>
    <t>64.678.866.600</t>
  </si>
  <si>
    <t>3.837.381.400</t>
  </si>
  <si>
    <t>67.282.911.300</t>
  </si>
  <si>
    <t>4.126.719.700</t>
  </si>
  <si>
    <t>70.245.519.600</t>
  </si>
  <si>
    <t>3.329.178.700</t>
  </si>
  <si>
    <t>73.652.565.000</t>
  </si>
  <si>
    <t>3.707.739.300</t>
  </si>
  <si>
    <t>76.449.418.500</t>
  </si>
  <si>
    <t>4.018.500.800</t>
  </si>
  <si>
    <t>79.232.699.100</t>
  </si>
  <si>
    <t>4.327.754.200</t>
  </si>
  <si>
    <t>82.776.283.500</t>
  </si>
  <si>
    <t>4.721.485.800</t>
  </si>
  <si>
    <t>85.415.028.150</t>
  </si>
  <si>
    <t>5.014.679.650</t>
  </si>
  <si>
    <t>89.006.712.600</t>
  </si>
  <si>
    <t>5.413.755.700</t>
  </si>
  <si>
    <t>92.543.076.300</t>
  </si>
  <si>
    <t>5.806.685.000</t>
  </si>
  <si>
    <t>95.157.557.400</t>
  </si>
  <si>
    <t>6.097.182.900</t>
  </si>
  <si>
    <t>98.550.537.600</t>
  </si>
  <si>
    <t>6.474.180.700</t>
  </si>
  <si>
    <t>103.455.782.400</t>
  </si>
  <si>
    <t>7.019.207.900</t>
  </si>
  <si>
    <t>108.239.519.100</t>
  </si>
  <si>
    <t>7.550.734.200</t>
  </si>
  <si>
    <t>113.097.886.500</t>
  </si>
  <si>
    <t>8.090.552.800</t>
  </si>
  <si>
    <t>117.790.059.900</t>
  </si>
  <si>
    <t>8.611.905.400</t>
  </si>
  <si>
    <t>121.944.966.150</t>
  </si>
  <si>
    <t>9.073.561.650</t>
  </si>
  <si>
    <t>126.215.215.950</t>
  </si>
  <si>
    <t>9.548.033.850</t>
  </si>
  <si>
    <t>131.422.869.300</t>
  </si>
  <si>
    <t>3.578.628.150</t>
  </si>
  <si>
    <t>136.404.173.550</t>
  </si>
  <si>
    <t>3.553.478.250</t>
  </si>
  <si>
    <t>141.891.526.200</t>
  </si>
  <si>
    <t>3.609.705.850</t>
  </si>
  <si>
    <t>32.069.373.600</t>
  </si>
  <si>
    <t>3.839.636.250</t>
  </si>
  <si>
    <t>33.504.099.600</t>
  </si>
  <si>
    <t>3.999.050.250</t>
  </si>
  <si>
    <t>35.224.077.000</t>
  </si>
  <si>
    <t>4.190.158.850</t>
  </si>
  <si>
    <t>37.115.385.600</t>
  </si>
  <si>
    <t>3.210.145.400</t>
  </si>
  <si>
    <t>38.923.540.050</t>
  </si>
  <si>
    <t>3.411.051.450</t>
  </si>
  <si>
    <t>40.777.509.000</t>
  </si>
  <si>
    <t>3.617.048.000</t>
  </si>
  <si>
    <t>43.029.773.850</t>
  </si>
  <si>
    <t>3.250.251.650</t>
  </si>
  <si>
    <t>44.457.452.850</t>
  </si>
  <si>
    <t>3.408.882.650</t>
  </si>
  <si>
    <t>46.116.963.300</t>
  </si>
  <si>
    <t>3.184.390.050</t>
  </si>
  <si>
    <t>48.097.092.900</t>
  </si>
  <si>
    <t>3.404.404.450</t>
  </si>
  <si>
    <t>49.475.717.850</t>
  </si>
  <si>
    <t>3.557.585.000</t>
  </si>
  <si>
    <t>31.298.624.850</t>
  </si>
  <si>
    <t>3.701.876.650</t>
  </si>
  <si>
    <t>33.098.155.950</t>
  </si>
  <si>
    <t>3.901.824.550</t>
  </si>
  <si>
    <t>34.447.913.850</t>
  </si>
  <si>
    <t>4.051.797.650</t>
  </si>
  <si>
    <t>35.832.009.000</t>
  </si>
  <si>
    <t>4.205.586.000</t>
  </si>
  <si>
    <t>37.855.593.750</t>
  </si>
  <si>
    <t>4.430.428.750</t>
  </si>
  <si>
    <t>39.542.259.450</t>
  </si>
  <si>
    <t>4.617.836.050</t>
  </si>
  <si>
    <t>41.211.747.300</t>
  </si>
  <si>
    <t>3.185.498.650</t>
  </si>
  <si>
    <t>43.255.980.300</t>
  </si>
  <si>
    <t>3.412.635.650</t>
  </si>
  <si>
    <t>45.292.426.950</t>
  </si>
  <si>
    <t>3.226.271.850</t>
  </si>
  <si>
    <t>47.353.422.000</t>
  </si>
  <si>
    <t>3.455.271.300</t>
  </si>
  <si>
    <t>49.559.884.950</t>
  </si>
  <si>
    <t>3.700.433.850</t>
  </si>
  <si>
    <t>51.898.872.000</t>
  </si>
  <si>
    <t>3.960.321.300</t>
  </si>
  <si>
    <t>54.265.804.950</t>
  </si>
  <si>
    <t>4.223.313.850</t>
  </si>
  <si>
    <t>56.326.866.150</t>
  </si>
  <si>
    <t>4.452.320.650</t>
  </si>
  <si>
    <t>58.284.817.050</t>
  </si>
  <si>
    <t>3.217.550.100</t>
  </si>
  <si>
    <t>31.431.471.600</t>
  </si>
  <si>
    <t>3.159.052.400</t>
  </si>
  <si>
    <t>33.193.526.250</t>
  </si>
  <si>
    <t>3.195.783.850</t>
  </si>
  <si>
    <t>34.760.092.350</t>
  </si>
  <si>
    <t>3.174.062.900</t>
  </si>
  <si>
    <t>36.527.178.450</t>
  </si>
  <si>
    <t>3.370.405.800</t>
  </si>
  <si>
    <t>38.329.212.900</t>
  </si>
  <si>
    <t>3.200.226.050</t>
  </si>
  <si>
    <t>40.169.779.500</t>
  </si>
  <si>
    <t>3.404.733.450</t>
  </si>
  <si>
    <t>41.652.287.400</t>
  </si>
  <si>
    <t>3.164.723.100</t>
  </si>
  <si>
    <t>43.626.698.850</t>
  </si>
  <si>
    <t>3.384.102.150</t>
  </si>
  <si>
    <t>45.384.137.400</t>
  </si>
  <si>
    <t>3.579.373.100</t>
  </si>
  <si>
    <t>47.471.485.800</t>
  </si>
  <si>
    <t>3.231.927.600</t>
  </si>
  <si>
    <t>49.383.994.350</t>
  </si>
  <si>
    <t>3.444.428.550</t>
  </si>
  <si>
    <t>51.386.104.200</t>
  </si>
  <si>
    <t>3.666.885.200</t>
  </si>
  <si>
    <t>53.571.168.300</t>
  </si>
  <si>
    <t>3.909.670.100</t>
  </si>
  <si>
    <t>31.599.710.400</t>
  </si>
  <si>
    <t>4.087.415.700</t>
  </si>
  <si>
    <t>32.676.566.250</t>
  </si>
  <si>
    <t>4.207.066.350</t>
  </si>
  <si>
    <t>33.779.028.450</t>
  </si>
  <si>
    <t>4.329.562.150</t>
  </si>
  <si>
    <t>34.794.244.200</t>
  </si>
  <si>
    <t>3.112.801.750</t>
  </si>
  <si>
    <t>36.217.440.750</t>
  </si>
  <si>
    <t>3.270.934.700</t>
  </si>
  <si>
    <t>37.267.416.300</t>
  </si>
  <si>
    <t>3.387.598.650</t>
  </si>
  <si>
    <t>38.324.690.400</t>
  </si>
  <si>
    <t>3.505.073.550</t>
  </si>
  <si>
    <t>39.750.460.500</t>
  </si>
  <si>
    <t>3.663.492.450</t>
  </si>
  <si>
    <t>41.150.223.750</t>
  </si>
  <si>
    <t>3.819.021.700</t>
  </si>
  <si>
    <t>41.956.676.850</t>
  </si>
  <si>
    <t>3.908.627.600</t>
  </si>
  <si>
    <t>42.842.874.450</t>
  </si>
  <si>
    <t>4.007.094.000</t>
  </si>
  <si>
    <t>43.714.673.400</t>
  </si>
  <si>
    <t>3.096.866.550</t>
  </si>
  <si>
    <t>44.634.669.600</t>
  </si>
  <si>
    <t>3.199.088.350</t>
  </si>
  <si>
    <t>45.716.421.900</t>
  </si>
  <si>
    <t>3.319.283.050</t>
  </si>
  <si>
    <t>46.622.870.850</t>
  </si>
  <si>
    <t>3.419.999.600</t>
  </si>
  <si>
    <t>47.578.886.400</t>
  </si>
  <si>
    <t>3.526.223.550</t>
  </si>
  <si>
    <t>48.767.588.400</t>
  </si>
  <si>
    <t>3.658.301.550</t>
  </si>
  <si>
    <t>49.639.552.050</t>
  </si>
  <si>
    <t>3.755.186.400</t>
  </si>
  <si>
    <t>50.537.868.150</t>
  </si>
  <si>
    <t>3.854.999.300</t>
  </si>
  <si>
    <t>52.091.219.550</t>
  </si>
  <si>
    <t>4.027.593.900</t>
  </si>
  <si>
    <t>53.712.030.000</t>
  </si>
  <si>
    <t>4.207.683.950</t>
  </si>
  <si>
    <t>55.092.779.850</t>
  </si>
  <si>
    <t>4.361.100.600</t>
  </si>
  <si>
    <t>56.957.293.200</t>
  </si>
  <si>
    <t>4.568.268.750</t>
  </si>
  <si>
    <t>58.649.592.000</t>
  </si>
  <si>
    <t>4.756.301.950</t>
  </si>
  <si>
    <t>60.108.577.500</t>
  </si>
  <si>
    <t>4.918.411.450</t>
  </si>
  <si>
    <t>62.152.928.850</t>
  </si>
  <si>
    <t>3.227.150.150</t>
  </si>
  <si>
    <t>64.225.888.500</t>
  </si>
  <si>
    <t>3.457.479.000</t>
  </si>
  <si>
    <t>65.583.214.500</t>
  </si>
  <si>
    <t>3.608.293.000</t>
  </si>
  <si>
    <t>67.505.291.850</t>
  </si>
  <si>
    <t>3.821.857.150</t>
  </si>
  <si>
    <t>69.234.635.100</t>
  </si>
  <si>
    <t>4.014.006.400</t>
  </si>
  <si>
    <t>71.577.732.450</t>
  </si>
  <si>
    <t>4.274.350.550</t>
  </si>
  <si>
    <t>74.329.390.200</t>
  </si>
  <si>
    <t>4.580.090.300</t>
  </si>
  <si>
    <t>76.705.906.800</t>
  </si>
  <si>
    <t>4.844.147.700</t>
  </si>
  <si>
    <t>79.623.927.750</t>
  </si>
  <si>
    <t>5.168.372.250</t>
  </si>
  <si>
    <t>82.941.970.800</t>
  </si>
  <si>
    <t>3.368.671.450</t>
  </si>
  <si>
    <t>85.964.212.650</t>
  </si>
  <si>
    <t>3.335.804.650</t>
  </si>
  <si>
    <t>88.377.473.100</t>
  </si>
  <si>
    <t>3.603.944.700</t>
  </si>
  <si>
    <t>91.883.861.400</t>
  </si>
  <si>
    <t>3.389.598.700</t>
  </si>
  <si>
    <t>95.299.509.900</t>
  </si>
  <si>
    <t>3.769.115.200</t>
  </si>
  <si>
    <t>99.230.089.800</t>
  </si>
  <si>
    <t>4.205.846.300</t>
  </si>
  <si>
    <t>103.358.105.400</t>
  </si>
  <si>
    <t>3.458.668.400</t>
  </si>
  <si>
    <t>106.907.224.800</t>
  </si>
  <si>
    <t>3.853.015.000</t>
  </si>
  <si>
    <t>111.103.646.250</t>
  </si>
  <si>
    <t>3.466.269.050</t>
  </si>
  <si>
    <t>115.517.111.250</t>
  </si>
  <si>
    <t>3.956.654.050</t>
  </si>
  <si>
    <t>119.987.868.900</t>
  </si>
  <si>
    <t>3.496.750.850</t>
  </si>
  <si>
    <t>124.370.953.500</t>
  </si>
  <si>
    <t>3.487.009.400</t>
  </si>
  <si>
    <t>127.938.125.100</t>
  </si>
  <si>
    <t>3.883.361.800</t>
  </si>
  <si>
    <t>132.079.733.400</t>
  </si>
  <si>
    <t>4.343.540.500</t>
  </si>
  <si>
    <t>136.474.196.700</t>
  </si>
  <si>
    <t>4.831.814.200</t>
  </si>
  <si>
    <t>140.284.425.000</t>
  </si>
  <si>
    <t>5.255.172.900</t>
  </si>
  <si>
    <t>144.675.020.100</t>
  </si>
  <si>
    <t>3.487.843.900</t>
  </si>
  <si>
    <t>148.567.285.200</t>
  </si>
  <si>
    <t>3.920.317.800</t>
  </si>
  <si>
    <t>152.992.255.350</t>
  </si>
  <si>
    <t>3.491.663.350</t>
  </si>
  <si>
    <t>157.547.327.700</t>
  </si>
  <si>
    <t>3.997.782.500</t>
  </si>
  <si>
    <t>162.010.540.200</t>
  </si>
  <si>
    <t>4.493.695.000</t>
  </si>
  <si>
    <t>167.297.139.300</t>
  </si>
  <si>
    <t>5.081.094.900</t>
  </si>
  <si>
    <t>172.318.645.650</t>
  </si>
  <si>
    <t>3.557.945.150</t>
  </si>
  <si>
    <t>177.193.640.100</t>
  </si>
  <si>
    <t>3.541.666.050</t>
  </si>
  <si>
    <t>182.330.633.100</t>
  </si>
  <si>
    <t>3.570.777.000</t>
  </si>
  <si>
    <t>187.387.466.700</t>
  </si>
  <si>
    <t>4.132.647.400</t>
  </si>
  <si>
    <t>192.650.416.500</t>
  </si>
  <si>
    <t>3.584.772.200</t>
  </si>
  <si>
    <t>198.581.827.350</t>
  </si>
  <si>
    <t>3.659.045.650</t>
  </si>
  <si>
    <t>204.118.789.350</t>
  </si>
  <si>
    <t>4.274.263.650</t>
  </si>
  <si>
    <t>214.130.470.800</t>
  </si>
  <si>
    <t>5.386.672.700</t>
  </si>
  <si>
    <t>32.003.504.400</t>
  </si>
  <si>
    <t>3.222.611.600</t>
  </si>
  <si>
    <t>33.605.699.250</t>
  </si>
  <si>
    <t>3.400.633.250</t>
  </si>
  <si>
    <t>35.927.361.300</t>
  </si>
  <si>
    <t>3.658.595.700</t>
  </si>
  <si>
    <t>38.074.658.250</t>
  </si>
  <si>
    <t>3.897.184.250</t>
  </si>
  <si>
    <t>40.268.451.000</t>
  </si>
  <si>
    <t>3.243.754.750</t>
  </si>
  <si>
    <t>32.041.280.550</t>
  </si>
  <si>
    <t>3.470.563.700</t>
  </si>
  <si>
    <t>34.313.096.550</t>
  </si>
  <si>
    <t>3.722.987.700</t>
  </si>
  <si>
    <t>36.143.063.400</t>
  </si>
  <si>
    <t>3.926.317.350</t>
  </si>
  <si>
    <t>38.394.271.200</t>
  </si>
  <si>
    <t>4.176.451.550</t>
  </si>
  <si>
    <t>40.661.845.500</t>
  </si>
  <si>
    <t>4.428.404.250</t>
  </si>
  <si>
    <t>42.691.966.950</t>
  </si>
  <si>
    <t>4.653.973.300</t>
  </si>
  <si>
    <t>44.903.463.150</t>
  </si>
  <si>
    <t>4.899.695.100</t>
  </si>
  <si>
    <t>47.714.037.600</t>
  </si>
  <si>
    <t>5.211.981.150</t>
  </si>
  <si>
    <t>50.363.385.150</t>
  </si>
  <si>
    <t>5.506.353.100</t>
  </si>
  <si>
    <t>52.742.566.200</t>
  </si>
  <si>
    <t>5.770.706.550</t>
  </si>
  <si>
    <t>55.150.857.750</t>
  </si>
  <si>
    <t>3.267.587.950</t>
  </si>
  <si>
    <t>57.764.215.200</t>
  </si>
  <si>
    <t>3.557.961.000</t>
  </si>
  <si>
    <t>60.562.731.900</t>
  </si>
  <si>
    <t>3.868.907.300</t>
  </si>
  <si>
    <t>63.474.225.600</t>
  </si>
  <si>
    <t>3.323.499.300</t>
  </si>
  <si>
    <t>66.252.857.250</t>
  </si>
  <si>
    <t>3.632.236.150</t>
  </si>
  <si>
    <t>68.434.304.250</t>
  </si>
  <si>
    <t>3.874.619.150</t>
  </si>
  <si>
    <t>71.367.341.700</t>
  </si>
  <si>
    <t>3.325.893.050</t>
  </si>
  <si>
    <t>74.540.296.200</t>
  </si>
  <si>
    <t>3.678.443.550</t>
  </si>
  <si>
    <t>76.942.780.500</t>
  </si>
  <si>
    <t>3.945.386.250</t>
  </si>
  <si>
    <t>78.554.607.600</t>
  </si>
  <si>
    <t>3.179.091.900</t>
  </si>
  <si>
    <t>31.793.086.200</t>
  </si>
  <si>
    <t>3.199.231.800</t>
  </si>
  <si>
    <t>33.707.650.350</t>
  </si>
  <si>
    <t>3.411.961.150</t>
  </si>
  <si>
    <t>35.512.784.850</t>
  </si>
  <si>
    <t>3.612.531.650</t>
  </si>
  <si>
    <t>36.581.622.600</t>
  </si>
  <si>
    <t>3.731.291.400</t>
  </si>
  <si>
    <t>38.675.385.750</t>
  </si>
  <si>
    <t>3.963.931.750</t>
  </si>
  <si>
    <t>40.440.003.150</t>
  </si>
  <si>
    <t>4.160.000.350</t>
  </si>
  <si>
    <t>42.568.127.400</t>
  </si>
  <si>
    <t>4.396.458.600</t>
  </si>
  <si>
    <t>44.742.716.400</t>
  </si>
  <si>
    <t>4.638.079.600</t>
  </si>
  <si>
    <t>47.074.116.000</t>
  </si>
  <si>
    <t>3.259.044.400</t>
  </si>
  <si>
    <t>49.301.038.650</t>
  </si>
  <si>
    <t>3.506.480.250</t>
  </si>
  <si>
    <t>51.751.645.500</t>
  </si>
  <si>
    <t>3.778.769.900</t>
  </si>
  <si>
    <t>53.906.255.400</t>
  </si>
  <si>
    <t>3.239.401.100</t>
  </si>
  <si>
    <t>56.307.304.200</t>
  </si>
  <si>
    <t>3.506.184.300</t>
  </si>
  <si>
    <t>58.908.623.700</t>
  </si>
  <si>
    <t>3.289.035.500</t>
  </si>
  <si>
    <t>61.525.768.350</t>
  </si>
  <si>
    <t>3.579.829.350</t>
  </si>
  <si>
    <t>64.691.708.250</t>
  </si>
  <si>
    <t>3.931.600.450</t>
  </si>
  <si>
    <t>67.331.602.650</t>
  </si>
  <si>
    <t>4.224.922.050</t>
  </si>
  <si>
    <t>69.988.955.700</t>
  </si>
  <si>
    <t>4.520.183.500</t>
  </si>
  <si>
    <t>72.264.577.800</t>
  </si>
  <si>
    <t>3.252.846.900</t>
  </si>
  <si>
    <t>75.356.765.400</t>
  </si>
  <si>
    <t>3.596.423.300</t>
  </si>
  <si>
    <t>77.809.523.700</t>
  </si>
  <si>
    <t>3.868.952.000</t>
  </si>
  <si>
    <t>80.758.885.350</t>
  </si>
  <si>
    <t>4.196.658.850</t>
  </si>
  <si>
    <t>84.160.173.900</t>
  </si>
  <si>
    <t>4.574.579.800</t>
  </si>
  <si>
    <t>87.502.919.250</t>
  </si>
  <si>
    <t>4.945.995.950</t>
  </si>
  <si>
    <t>92.575.628.850</t>
  </si>
  <si>
    <t>5.509.630.350</t>
  </si>
  <si>
    <t>31.953.142.200</t>
  </si>
  <si>
    <t>5.726.646.150</t>
  </si>
  <si>
    <t>33.412.538.550</t>
  </si>
  <si>
    <t>3.162.155.150</t>
  </si>
  <si>
    <t>35.131.524.600</t>
  </si>
  <si>
    <t>3.190.998.450</t>
  </si>
  <si>
    <t>37.087.734.000</t>
  </si>
  <si>
    <t>3.408.355.050</t>
  </si>
  <si>
    <t>38.990.566.200</t>
  </si>
  <si>
    <t>3.619.780.850</t>
  </si>
  <si>
    <t>40.960.429.950</t>
  </si>
  <si>
    <t>3.838.654.600</t>
  </si>
  <si>
    <t>43.368.051.000</t>
  </si>
  <si>
    <t>4.106.168.050</t>
  </si>
  <si>
    <t>45.524.219.700</t>
  </si>
  <si>
    <t>4.345.742.350</t>
  </si>
  <si>
    <t>48.237.615.300</t>
  </si>
  <si>
    <t>4.647.230.750</t>
  </si>
  <si>
    <t>50.454.523.200</t>
  </si>
  <si>
    <t>3.246.323.100</t>
  </si>
  <si>
    <t>52.849.603.650</t>
  </si>
  <si>
    <t>3.512.443.150</t>
  </si>
  <si>
    <t>55.087.218.300</t>
  </si>
  <si>
    <t>3.761.067.000</t>
  </si>
  <si>
    <t>57.772.834.500</t>
  </si>
  <si>
    <t>4.059.468.800</t>
  </si>
  <si>
    <t>60.427.002.000</t>
  </si>
  <si>
    <t>4.354.376.300</t>
  </si>
  <si>
    <t>62.757.436.800</t>
  </si>
  <si>
    <t>4.613.313.500</t>
  </si>
  <si>
    <t>65.600.832.450</t>
  </si>
  <si>
    <t>4.929.246.350</t>
  </si>
  <si>
    <t>67.823.715.000</t>
  </si>
  <si>
    <t>3.246.986.950</t>
  </si>
  <si>
    <t>70.506.838.200</t>
  </si>
  <si>
    <t>3.545.111.750</t>
  </si>
  <si>
    <t>74.335.915.200</t>
  </si>
  <si>
    <t>3.970.564.750</t>
  </si>
  <si>
    <t>79.919.472.900</t>
  </si>
  <si>
    <t>4.590.960.050</t>
  </si>
  <si>
    <t>85.597.658.400</t>
  </si>
  <si>
    <t>5.221.869.550</t>
  </si>
  <si>
    <t>92.299.663.650</t>
  </si>
  <si>
    <t>5.966.536.800</t>
  </si>
  <si>
    <t>99.398.788.050</t>
  </si>
  <si>
    <t>6.755.328.400</t>
  </si>
  <si>
    <t>107.146.231.950</t>
  </si>
  <si>
    <t>7.616.155.500</t>
  </si>
  <si>
    <t>112.724.914.800</t>
  </si>
  <si>
    <t>3.619.853.650</t>
  </si>
  <si>
    <t>120.359.597.700</t>
  </si>
  <si>
    <t>4.468.151.750</t>
  </si>
  <si>
    <t>128.468.041.500</t>
  </si>
  <si>
    <t>5.369.089.950</t>
  </si>
  <si>
    <t>137.360.420.850</t>
  </si>
  <si>
    <t>6.357.132.100</t>
  </si>
  <si>
    <t>145.146.456.750</t>
  </si>
  <si>
    <t>7.222.247.200</t>
  </si>
  <si>
    <t>153.712.284.600</t>
  </si>
  <si>
    <t>8.174.005.850</t>
  </si>
  <si>
    <t>162.630.330.150</t>
  </si>
  <si>
    <t>9.164.899.800</t>
  </si>
  <si>
    <t>172.448.183.100</t>
  </si>
  <si>
    <t>10.255.772.350</t>
  </si>
  <si>
    <t>183.948.645.900</t>
  </si>
  <si>
    <t>11.533.601.550</t>
  </si>
  <si>
    <t>195.504.840.300</t>
  </si>
  <si>
    <t>12.817.623.150</t>
  </si>
  <si>
    <t>205.143.192.300</t>
  </si>
  <si>
    <t>4.070.928.000</t>
  </si>
  <si>
    <t>31.962.266.400</t>
  </si>
  <si>
    <t>3.218.029.600</t>
  </si>
  <si>
    <t>33.952.631.250</t>
  </si>
  <si>
    <t>3.439.181.250</t>
  </si>
  <si>
    <t>35.972.954.400</t>
  </si>
  <si>
    <t>3.663.661.600</t>
  </si>
  <si>
    <t>38.195.566.050</t>
  </si>
  <si>
    <t>3.910.618.450</t>
  </si>
  <si>
    <t>40.513.467.450</t>
  </si>
  <si>
    <t>4.168.163.050</t>
  </si>
  <si>
    <t>42.178.630.800</t>
  </si>
  <si>
    <t>4.353.181.200</t>
  </si>
  <si>
    <t>31.865.574.450</t>
  </si>
  <si>
    <t>4.560.467.250</t>
  </si>
  <si>
    <t>34.019.568.300</t>
  </si>
  <si>
    <t>4.799.799.900</t>
  </si>
  <si>
    <t>36.032.949.300</t>
  </si>
  <si>
    <t>5.023.508.900</t>
  </si>
  <si>
    <t>38.170.136.550</t>
  </si>
  <si>
    <t>5.260.974.150</t>
  </si>
  <si>
    <t>40.722.247.650</t>
  </si>
  <si>
    <t>5.544.542.050</t>
  </si>
  <si>
    <t>42.823.778.700</t>
  </si>
  <si>
    <t>5.778.045.500</t>
  </si>
  <si>
    <t>45.228.896.850</t>
  </si>
  <si>
    <t>6.045.280.850</t>
  </si>
  <si>
    <t>47.953.145.550</t>
  </si>
  <si>
    <t>6.347.975.150</t>
  </si>
  <si>
    <t>50.094.066.900</t>
  </si>
  <si>
    <t>3.237.880.150</t>
  </si>
  <si>
    <t>52.524.475.500</t>
  </si>
  <si>
    <t>3.507.925.550</t>
  </si>
  <si>
    <t>55.279.408.350</t>
  </si>
  <si>
    <t>3.306.103.650</t>
  </si>
  <si>
    <t>57.912.621.600</t>
  </si>
  <si>
    <t>3.598.682.900</t>
  </si>
  <si>
    <t>60.479.670.450</t>
  </si>
  <si>
    <t>3.883.910.550</t>
  </si>
  <si>
    <t>63.748.396.650</t>
  </si>
  <si>
    <t>4.247.102.350</t>
  </si>
  <si>
    <t>66.183.821.850</t>
  </si>
  <si>
    <t>4.517.705.150</t>
  </si>
  <si>
    <t>68.862.978.750</t>
  </si>
  <si>
    <t>4.815.389.250</t>
  </si>
  <si>
    <t>72.622.537.050</t>
  </si>
  <si>
    <t>5.233.117.950</t>
  </si>
  <si>
    <t>75.315.934.650</t>
  </si>
  <si>
    <t>5.532.384.350</t>
  </si>
  <si>
    <t>77.139.433.650</t>
  </si>
  <si>
    <t>3.202.611.000</t>
  </si>
  <si>
    <t>80.468.982.300</t>
  </si>
  <si>
    <t>3.369.949.850</t>
  </si>
  <si>
    <t>83.847.890.100</t>
  </si>
  <si>
    <t>3.745.384.050</t>
  </si>
  <si>
    <t>87.421.889.100</t>
  </si>
  <si>
    <t>4.142.495.050</t>
  </si>
  <si>
    <t>91.614.070.200</t>
  </si>
  <si>
    <t>4.608.292.950</t>
  </si>
  <si>
    <t>98.674.641.750</t>
  </si>
  <si>
    <t>5.392.800.900</t>
  </si>
  <si>
    <t>31.902.787.650</t>
  </si>
  <si>
    <t>3.211.420.850</t>
  </si>
  <si>
    <t>33.257.062.650</t>
  </si>
  <si>
    <t>3.361.895.850</t>
  </si>
  <si>
    <t>35.206.530.150</t>
  </si>
  <si>
    <t>3.578.503.350</t>
  </si>
  <si>
    <t>37.241.100.750</t>
  </si>
  <si>
    <t>3.804.566.750</t>
  </si>
  <si>
    <t>31.658.106.000</t>
  </si>
  <si>
    <t>3.988.800.750</t>
  </si>
  <si>
    <t>33.330.821.700</t>
  </si>
  <si>
    <t>4.174.658.050</t>
  </si>
  <si>
    <t>35.350.914.000</t>
  </si>
  <si>
    <t>4.399.112.750</t>
  </si>
  <si>
    <t>37.672.072.050</t>
  </si>
  <si>
    <t>4.657.019.200</t>
  </si>
  <si>
    <t>39.847.692.900</t>
  </si>
  <si>
    <t>4.898.754.850</t>
  </si>
  <si>
    <t>41.892.390.300</t>
  </si>
  <si>
    <t>3.227.188.600</t>
  </si>
  <si>
    <t>44.628.997.800</t>
  </si>
  <si>
    <t>3.531.256.100</t>
  </si>
  <si>
    <t>46.869.729.600</t>
  </si>
  <si>
    <t>3.780.226.300</t>
  </si>
  <si>
    <t>49.411.290.450</t>
  </si>
  <si>
    <t>4.062.621.950</t>
  </si>
  <si>
    <t>51.961.066.050</t>
  </si>
  <si>
    <t>4.345.930.350</t>
  </si>
  <si>
    <t>53.993.736.750</t>
  </si>
  <si>
    <t>3.225.852.300</t>
  </si>
  <si>
    <t>55.574.880.150</t>
  </si>
  <si>
    <t>3.401.534.900</t>
  </si>
  <si>
    <t>58.584.185.850</t>
  </si>
  <si>
    <t>3.735.902.200</t>
  </si>
  <si>
    <t>61.167.452.700</t>
  </si>
  <si>
    <t>3.287.029.650</t>
  </si>
  <si>
    <t>63.987.346.200</t>
  </si>
  <si>
    <t>3.600.351.150</t>
  </si>
  <si>
    <t>67.427.850.900</t>
  </si>
  <si>
    <t>3.982.629.450</t>
  </si>
  <si>
    <t>69.642.327.900</t>
  </si>
  <si>
    <t>3.246.053.000</t>
  </si>
  <si>
    <t>72.525.177.750</t>
  </si>
  <si>
    <t>3.320.316.650</t>
  </si>
  <si>
    <t>76.296.698.850</t>
  </si>
  <si>
    <t>3.739.374.550</t>
  </si>
  <si>
    <t>79.814.616.150</t>
  </si>
  <si>
    <t>3.390.879.700</t>
  </si>
  <si>
    <t>83.273.763.450</t>
  </si>
  <si>
    <t>3.384.349.700</t>
  </si>
  <si>
    <t>86.829.283.650</t>
  </si>
  <si>
    <t>3.395.057.800</t>
  </si>
  <si>
    <t>90.352.111.350</t>
  </si>
  <si>
    <t>3.391.425.300</t>
  </si>
  <si>
    <t>94.333.835.100</t>
  </si>
  <si>
    <t>3.833.839.050</t>
  </si>
  <si>
    <t>98.824.703.250</t>
  </si>
  <si>
    <t>4.332.824.400</t>
  </si>
  <si>
    <t>103.576.368.900</t>
  </si>
  <si>
    <t>3.527.962.850</t>
  </si>
  <si>
    <t>108.784.806.600</t>
  </si>
  <si>
    <t>4.106.678.150</t>
  </si>
  <si>
    <t>116.145.205.500</t>
  </si>
  <si>
    <t>4.924.500.250</t>
  </si>
  <si>
    <t>126.455.985.750</t>
  </si>
  <si>
    <t>6.070.142.500</t>
  </si>
  <si>
    <t>134.599.851.300</t>
  </si>
  <si>
    <t>3.904.873.950</t>
  </si>
  <si>
    <t>146.920.318.050</t>
  </si>
  <si>
    <t>5.273.814.700</t>
  </si>
  <si>
    <t>155.290.691.550</t>
  </si>
  <si>
    <t>3.930.041.500</t>
  </si>
  <si>
    <t>167.391.079.950</t>
  </si>
  <si>
    <t>5.274.529.100</t>
  </si>
  <si>
    <t>32.248.036.650</t>
  </si>
  <si>
    <t>5.524.310.950</t>
  </si>
  <si>
    <t>34.469.658.750</t>
  </si>
  <si>
    <t>3.246.846.900</t>
  </si>
  <si>
    <t>36.098.421.150</t>
  </si>
  <si>
    <t>3.427.820.500</t>
  </si>
  <si>
    <t>38.626.793.850</t>
  </si>
  <si>
    <t>3.708.750.800</t>
  </si>
  <si>
    <t>40.919.760.750</t>
  </si>
  <si>
    <t>3.963.524.900</t>
  </si>
  <si>
    <t>43.191.318.000</t>
  </si>
  <si>
    <t>4.215.920.150</t>
  </si>
  <si>
    <t>45.442.629.750</t>
  </si>
  <si>
    <t>3.250.145.750</t>
  </si>
  <si>
    <t>47.581.312.800</t>
  </si>
  <si>
    <t>3.487.777.200</t>
  </si>
  <si>
    <t>49.544.227.650</t>
  </si>
  <si>
    <t>3.218.101.650</t>
  </si>
  <si>
    <t>51.992.583.600</t>
  </si>
  <si>
    <t>3.490.141.200</t>
  </si>
  <si>
    <t>54.479.037.450</t>
  </si>
  <si>
    <t>3.766.413.850</t>
  </si>
  <si>
    <t>56.793.486.450</t>
  </si>
  <si>
    <t>4.023.574.850</t>
  </si>
  <si>
    <t>59.818.408.950</t>
  </si>
  <si>
    <t>3.336.102.500</t>
  </si>
  <si>
    <t>62.304.180.150</t>
  </si>
  <si>
    <t>3.612.299.300</t>
  </si>
  <si>
    <t>64.877.769.750</t>
  </si>
  <si>
    <t>3.898.253.700</t>
  </si>
  <si>
    <t>67.293.412.500</t>
  </si>
  <si>
    <t>4.166.658.450</t>
  </si>
  <si>
    <t>69.843.950.850</t>
  </si>
  <si>
    <t>4.450.051.600</t>
  </si>
  <si>
    <t>73.618.027.050</t>
  </si>
  <si>
    <t>3.419.341.800</t>
  </si>
  <si>
    <t>79.652.814.150</t>
  </si>
  <si>
    <t>4.089.873.700</t>
  </si>
  <si>
    <t>85.835.025.750</t>
  </si>
  <si>
    <t>4.776.786.100</t>
  </si>
  <si>
    <t>92.507.434.050</t>
  </si>
  <si>
    <t>5.518.164.800</t>
  </si>
  <si>
    <t>31.790.453.700</t>
  </si>
  <si>
    <t>3.198.939.300</t>
  </si>
  <si>
    <t>33.529.908.900</t>
  </si>
  <si>
    <t>3.392.212.100</t>
  </si>
  <si>
    <t>35.534.625.600</t>
  </si>
  <si>
    <t>3.614.958.400</t>
  </si>
  <si>
    <t>36.591.358.350</t>
  </si>
  <si>
    <t>3.117.414.750</t>
  </si>
  <si>
    <t>38.396.133.300</t>
  </si>
  <si>
    <t>3.317.945.300</t>
  </si>
  <si>
    <t>40.163.155.050</t>
  </si>
  <si>
    <t>3.514.281.050</t>
  </si>
  <si>
    <t>41.760.073.200</t>
  </si>
  <si>
    <t>3.691.716.400</t>
  </si>
  <si>
    <t>43.516.873.650</t>
  </si>
  <si>
    <t>3.886.916.450</t>
  </si>
  <si>
    <t>45.830.729.550</t>
  </si>
  <si>
    <t>4.144.011.550</t>
  </si>
  <si>
    <t>47.768.959.650</t>
  </si>
  <si>
    <t>3.215.358.900</t>
  </si>
  <si>
    <t>49.872.652.950</t>
  </si>
  <si>
    <t>3.449.102.600</t>
  </si>
  <si>
    <t>52.053.289.050</t>
  </si>
  <si>
    <t>3.691.395.500</t>
  </si>
  <si>
    <t>54.468.180.300</t>
  </si>
  <si>
    <t>3.959.716.750</t>
  </si>
  <si>
    <t>56.487.021.150</t>
  </si>
  <si>
    <t>4.184.032.400</t>
  </si>
  <si>
    <t>59.309.461.650</t>
  </si>
  <si>
    <t>4.497.636.900</t>
  </si>
  <si>
    <t>62.243.461.200</t>
  </si>
  <si>
    <t>4.823.636.850</t>
  </si>
  <si>
    <t>65.383.604.850</t>
  </si>
  <si>
    <t>3.348.904.850</t>
  </si>
  <si>
    <t>68.288.184.300</t>
  </si>
  <si>
    <t>3.322.731.050</t>
  </si>
  <si>
    <t>71.024.943.450</t>
  </si>
  <si>
    <t>3.626.815.400</t>
  </si>
  <si>
    <t>31.734.697.800</t>
  </si>
  <si>
    <t>3.819.559.600</t>
  </si>
  <si>
    <t>33.425.088.600</t>
  </si>
  <si>
    <t>4.007.380.800</t>
  </si>
  <si>
    <t>35.002.371.900</t>
  </si>
  <si>
    <t>4.182.634.500</t>
  </si>
  <si>
    <t>36.853.249.350</t>
  </si>
  <si>
    <t>4.388.287.550</t>
  </si>
  <si>
    <t>38.918.931.150</t>
  </si>
  <si>
    <t>4.617.807.750</t>
  </si>
  <si>
    <t>40.461.283.650</t>
  </si>
  <si>
    <t>4.789.180.250</t>
  </si>
  <si>
    <t>42.137.944.050</t>
  </si>
  <si>
    <t>4.975.475.850</t>
  </si>
  <si>
    <t>44.227.963.200</t>
  </si>
  <si>
    <t>5.207.700.200</t>
  </si>
  <si>
    <t>46.173.445.950</t>
  </si>
  <si>
    <t>5.423.864.950</t>
  </si>
  <si>
    <t>48.248.431.500</t>
  </si>
  <si>
    <t>3.230.553.950</t>
  </si>
  <si>
    <t>50.805.088.500</t>
  </si>
  <si>
    <t>3.514.626.950</t>
  </si>
  <si>
    <t>53.021.964.900</t>
  </si>
  <si>
    <t>3.246.319.600</t>
  </si>
  <si>
    <t>54.316.474.500</t>
  </si>
  <si>
    <t>3.390.154.000</t>
  </si>
  <si>
    <t>56.226.657.900</t>
  </si>
  <si>
    <t>3.212.242.600</t>
  </si>
  <si>
    <t>58.514.317.950</t>
  </si>
  <si>
    <t>3.466.427.050</t>
  </si>
  <si>
    <t>60.866.703.300</t>
  </si>
  <si>
    <t>3.261.376.150</t>
  </si>
  <si>
    <t>62.962.637.700</t>
  </si>
  <si>
    <t>3.232.881.600</t>
  </si>
  <si>
    <t>65.811.324.900</t>
  </si>
  <si>
    <t>3.549.402.400</t>
  </si>
  <si>
    <t>68.127.043.350</t>
  </si>
  <si>
    <t>3.257.302.050</t>
  </si>
  <si>
    <t>70.842.375.750</t>
  </si>
  <si>
    <t>3.559.005.650</t>
  </si>
  <si>
    <t>73.659.305.100</t>
  </si>
  <si>
    <t>3.871.997.800</t>
  </si>
  <si>
    <t>76.361.538.900</t>
  </si>
  <si>
    <t>4.172.246.000</t>
  </si>
  <si>
    <t>31.705.358.250</t>
  </si>
  <si>
    <t>4.361.730.250</t>
  </si>
  <si>
    <t>32.942.141.850</t>
  </si>
  <si>
    <t>4.499.150.650</t>
  </si>
  <si>
    <t>34.404.588.750</t>
  </si>
  <si>
    <t>4.661.644.750</t>
  </si>
  <si>
    <t>36.233.149.800</t>
  </si>
  <si>
    <t>3.203.173.450</t>
  </si>
  <si>
    <t>37.840.372.050</t>
  </si>
  <si>
    <t>3.381.753.700</t>
  </si>
  <si>
    <t>38.990.916.300</t>
  </si>
  <si>
    <t>3.509.591.950</t>
  </si>
  <si>
    <t>41.223.910.350</t>
  </si>
  <si>
    <t>3.757.702.400</t>
  </si>
  <si>
    <t>43.522.243.950</t>
  </si>
  <si>
    <t>4.013.072.800</t>
  </si>
  <si>
    <t>45.597.828.900</t>
  </si>
  <si>
    <t>4.243.693.350</t>
  </si>
  <si>
    <t>48.285.119.100</t>
  </si>
  <si>
    <t>4.542.281.150</t>
  </si>
  <si>
    <t>50.491.951.050</t>
  </si>
  <si>
    <t>4.787.484.700</t>
  </si>
  <si>
    <t>52.877.718.300</t>
  </si>
  <si>
    <t>5.052.569.950</t>
  </si>
  <si>
    <t>55.603.213.950</t>
  </si>
  <si>
    <t>5.355.402.800</t>
  </si>
  <si>
    <t>58.005.385.050</t>
  </si>
  <si>
    <t>5.622.310.700</t>
  </si>
  <si>
    <t>60.314.116.350</t>
  </si>
  <si>
    <t>3.256.525.700</t>
  </si>
  <si>
    <t>63.040.925.550</t>
  </si>
  <si>
    <t>3.302.978.800</t>
  </si>
  <si>
    <t>65.034.265.800</t>
  </si>
  <si>
    <t>3.524.461.050</t>
  </si>
  <si>
    <t>66.932.714.550</t>
  </si>
  <si>
    <t>3.735.399.800</t>
  </si>
  <si>
    <t>69.936.872.700</t>
  </si>
  <si>
    <t>3.333.795.350</t>
  </si>
  <si>
    <t>72.625.274.850</t>
  </si>
  <si>
    <t>3.632.506.700</t>
  </si>
  <si>
    <t>77.160.756.450</t>
  </si>
  <si>
    <t>4.136.449.100</t>
  </si>
  <si>
    <t>80.894.008.650</t>
  </si>
  <si>
    <t>3.414.805.800</t>
  </si>
  <si>
    <t>86.968.735.500</t>
  </si>
  <si>
    <t>4.089.775.450</t>
  </si>
  <si>
    <t>93.737.419.050</t>
  </si>
  <si>
    <t>4.841.851.400</t>
  </si>
  <si>
    <t>103.333.058.400</t>
  </si>
  <si>
    <t>5.908.033.550</t>
  </si>
  <si>
    <t>109.923.542.850</t>
  </si>
  <si>
    <t>3.732.276.050</t>
  </si>
  <si>
    <t>119.322.221.250</t>
  </si>
  <si>
    <t>4.776.573.650</t>
  </si>
  <si>
    <t>129.014.374.350</t>
  </si>
  <si>
    <t>5.853.479.550</t>
  </si>
  <si>
    <t>138.815.469.750</t>
  </si>
  <si>
    <t>6.942.490.150</t>
  </si>
  <si>
    <t>147.710.573.850</t>
  </si>
  <si>
    <t>7.930.835.050</t>
  </si>
  <si>
    <t>159.476.961.450</t>
  </si>
  <si>
    <t>9.238.211.450</t>
  </si>
  <si>
    <t>166.915.926.750</t>
  </si>
  <si>
    <t>3.826.551.700</t>
  </si>
  <si>
    <t>174.697.190.850</t>
  </si>
  <si>
    <t>3.864.584.900</t>
  </si>
  <si>
    <t>184.720.792.350</t>
  </si>
  <si>
    <t>4.113.733.500</t>
  </si>
  <si>
    <t>196.667.264.100</t>
  </si>
  <si>
    <t>5.441.119.250</t>
  </si>
  <si>
    <t>210.802.558.800</t>
  </si>
  <si>
    <t>7.011.707.550</t>
  </si>
  <si>
    <t>226.138.479.600</t>
  </si>
  <si>
    <t>8.715.698.750</t>
  </si>
  <si>
    <t>242.211.415.350</t>
  </si>
  <si>
    <t>10.501.580.500</t>
  </si>
  <si>
    <t>256.972.522.350</t>
  </si>
  <si>
    <t>12.141.703.500</t>
  </si>
  <si>
    <t>31.860.737.850</t>
  </si>
  <si>
    <t>12.348.452.150</t>
  </si>
  <si>
    <t>34.033.462.950</t>
  </si>
  <si>
    <t>12.589.866.050</t>
  </si>
  <si>
    <t>35.774.937.300</t>
  </si>
  <si>
    <t>12.783.363.200</t>
  </si>
  <si>
    <t>38.459.304.300</t>
  </si>
  <si>
    <t>13.081.626.200</t>
  </si>
  <si>
    <t>40.752.858.900</t>
  </si>
  <si>
    <t>13.336.465.600</t>
  </si>
  <si>
    <t>42.714.713.100</t>
  </si>
  <si>
    <t>3.217.983.800</t>
  </si>
  <si>
    <t>44.834.259.900</t>
  </si>
  <si>
    <t>3.453.489.000</t>
  </si>
  <si>
    <t>46.578.147.150</t>
  </si>
  <si>
    <t>3.647.254.250</t>
  </si>
  <si>
    <t>48.434.457.450</t>
  </si>
  <si>
    <t>3.853.510.950</t>
  </si>
  <si>
    <t>50.166.294.600</t>
  </si>
  <si>
    <t>4.045.937.300</t>
  </si>
  <si>
    <t>52.423.299.300</t>
  </si>
  <si>
    <t>4.296.715.600</t>
  </si>
  <si>
    <t>54.554.601.450</t>
  </si>
  <si>
    <t>3.236.811.350</t>
  </si>
  <si>
    <t>56.990.967.600</t>
  </si>
  <si>
    <t>3.507.518.700</t>
  </si>
  <si>
    <t>59.333.976.300</t>
  </si>
  <si>
    <t>3.767.853.000</t>
  </si>
  <si>
    <t>61.815.809.550</t>
  </si>
  <si>
    <t>4.043.612.250</t>
  </si>
  <si>
    <t>64.650.236.700</t>
  </si>
  <si>
    <t>4.358.548.600</t>
  </si>
  <si>
    <t>67.899.735.300</t>
  </si>
  <si>
    <t>4.719.604.000</t>
  </si>
  <si>
    <t>72.457.474.800</t>
  </si>
  <si>
    <t>5.226.019.500</t>
  </si>
  <si>
    <t>77.347.149.150</t>
  </si>
  <si>
    <t>5.769.316.650</t>
  </si>
  <si>
    <t>82.096.341.600</t>
  </si>
  <si>
    <t>6.297.004.700</t>
  </si>
  <si>
    <t>87.320.545.500</t>
  </si>
  <si>
    <t>6.877.471.800</t>
  </si>
  <si>
    <t>90.070.410.900</t>
  </si>
  <si>
    <t>3.305.540.600</t>
  </si>
  <si>
    <t>95.566.397.700</t>
  </si>
  <si>
    <t>3.916.205.800</t>
  </si>
  <si>
    <t>101.882.095.950</t>
  </si>
  <si>
    <t>4.617.950.050</t>
  </si>
  <si>
    <t>106.511.719.800</t>
  </si>
  <si>
    <t>3.514.402.650</t>
  </si>
  <si>
    <t>112.991.932.200</t>
  </si>
  <si>
    <t>4.234.426.250</t>
  </si>
  <si>
    <t>120.243.618.750</t>
  </si>
  <si>
    <t>5.040.169.200</t>
  </si>
  <si>
    <t>126.033.393.900</t>
  </si>
  <si>
    <t>3.643.308.350</t>
  </si>
  <si>
    <t>134.594.405.850</t>
  </si>
  <si>
    <t>4.594.531.900</t>
  </si>
  <si>
    <t>142.854.653.550</t>
  </si>
  <si>
    <t>5.512.337.200</t>
  </si>
  <si>
    <t>152.183.678.700</t>
  </si>
  <si>
    <t>6.548.895.550</t>
  </si>
  <si>
    <t>157.447.377.750</t>
  </si>
  <si>
    <t>3.584.855.450</t>
  </si>
  <si>
    <t>166.603.401.750</t>
  </si>
  <si>
    <t>4.602.191.450</t>
  </si>
  <si>
    <t>173.149.875.300</t>
  </si>
  <si>
    <t>3.727.385.950</t>
  </si>
  <si>
    <t>31.605.069.000</t>
  </si>
  <si>
    <t>3.178.341.000</t>
  </si>
  <si>
    <t>33.414.096.900</t>
  </si>
  <si>
    <t>3.379.344.100</t>
  </si>
  <si>
    <t>35.075.545.050</t>
  </si>
  <si>
    <t>3.563.949.450</t>
  </si>
  <si>
    <t>31.420.540.650</t>
  </si>
  <si>
    <t>3.721.787.300</t>
  </si>
  <si>
    <t>32.810.830.500</t>
  </si>
  <si>
    <t>3.876.263.950</t>
  </si>
  <si>
    <t>34.196.392.650</t>
  </si>
  <si>
    <t>4.030.215.300</t>
  </si>
  <si>
    <t>35.952.406.950</t>
  </si>
  <si>
    <t>4.225.328.000</t>
  </si>
  <si>
    <t>37.188.068.250</t>
  </si>
  <si>
    <t>3.137.295.700</t>
  </si>
  <si>
    <t>38.984.117.250</t>
  </si>
  <si>
    <t>3.199.561.000</t>
  </si>
  <si>
    <t>40.785.765.150</t>
  </si>
  <si>
    <t>3.399.744.100</t>
  </si>
  <si>
    <t>42.235.023.000</t>
  </si>
  <si>
    <t>3.560.772.750</t>
  </si>
  <si>
    <t>44.717.168.550</t>
  </si>
  <si>
    <t>3.836.566.700</t>
  </si>
  <si>
    <t>46.969.203.000</t>
  </si>
  <si>
    <t>4.086.792.750</t>
  </si>
  <si>
    <t>48.458.017.200</t>
  </si>
  <si>
    <t>4.252.216.550</t>
  </si>
  <si>
    <t>50.531.713.500</t>
  </si>
  <si>
    <t>4.482.627.250</t>
  </si>
  <si>
    <t>31.401.323.850</t>
  </si>
  <si>
    <t>4.638.329.900</t>
  </si>
  <si>
    <t>32.990.974.950</t>
  </si>
  <si>
    <t>4.814.957.800</t>
  </si>
  <si>
    <t>35.173.302.600</t>
  </si>
  <si>
    <t>5.057.438.650</t>
  </si>
  <si>
    <t>36.585.760.800</t>
  </si>
  <si>
    <t>3.156.939.800</t>
  </si>
  <si>
    <t>38.380.011.600</t>
  </si>
  <si>
    <t>3.356.301.000</t>
  </si>
  <si>
    <t>40.527.961.950</t>
  </si>
  <si>
    <t>3.594.962.150</t>
  </si>
  <si>
    <t>42.761.793.000</t>
  </si>
  <si>
    <t>3.843.165.600</t>
  </si>
  <si>
    <t>45.088.940.550</t>
  </si>
  <si>
    <t>4.101.737.550</t>
  </si>
  <si>
    <t>47.615.531.700</t>
  </si>
  <si>
    <t>4.382.469.900</t>
  </si>
  <si>
    <t>50.014.908.300</t>
  </si>
  <si>
    <t>4.649.067.300</t>
  </si>
  <si>
    <t>52.129.102.800</t>
  </si>
  <si>
    <t>4.883.977.800</t>
  </si>
  <si>
    <t>54.632.301.150</t>
  </si>
  <si>
    <t>3.278.133.150</t>
  </si>
  <si>
    <t>57.063.120.600</t>
  </si>
  <si>
    <t>3.270.091.050</t>
  </si>
  <si>
    <t>59.785.265.550</t>
  </si>
  <si>
    <t>3.572.551.600</t>
  </si>
  <si>
    <t>62.968.732.950</t>
  </si>
  <si>
    <t>3.926.270.200</t>
  </si>
  <si>
    <t>65.509.647.150</t>
  </si>
  <si>
    <t>4.208.594.000</t>
  </si>
  <si>
    <t>68.166.525.450</t>
  </si>
  <si>
    <t>3.295.208.700</t>
  </si>
  <si>
    <t>70.984.974.900</t>
  </si>
  <si>
    <t>3.313.161.050</t>
  </si>
  <si>
    <t>73.702.820.550</t>
  </si>
  <si>
    <t>3.301.982.850</t>
  </si>
  <si>
    <t>77.023.764.300</t>
  </si>
  <si>
    <t>3.670.976.600</t>
  </si>
  <si>
    <t>80.681.771.550</t>
  </si>
  <si>
    <t>3.406.445.250</t>
  </si>
  <si>
    <t>83.810.646.300</t>
  </si>
  <si>
    <t>3.754.098.000</t>
  </si>
  <si>
    <t>87.295.773.450</t>
  </si>
  <si>
    <t>3.387.236.350</t>
  </si>
  <si>
    <t>91.320.972.600</t>
  </si>
  <si>
    <t>3.834.480.700</t>
  </si>
  <si>
    <t>95.065.337.100</t>
  </si>
  <si>
    <t>4.250.521.200</t>
  </si>
  <si>
    <t>98.887.965.600</t>
  </si>
  <si>
    <t>4.675.257.700</t>
  </si>
  <si>
    <t>103.161.578.250</t>
  </si>
  <si>
    <t>3.474.845.850</t>
  </si>
  <si>
    <t>107.397.479.550</t>
  </si>
  <si>
    <t>3.945.501.550</t>
  </si>
  <si>
    <t>112.343.407.950</t>
  </si>
  <si>
    <t>4.495.049.150</t>
  </si>
  <si>
    <t>116.463.068.400</t>
  </si>
  <si>
    <t>4.952.789.200</t>
  </si>
  <si>
    <t>120.893.318.850</t>
  </si>
  <si>
    <t>5.445.039.249</t>
  </si>
  <si>
    <t>126.553.729.800</t>
  </si>
  <si>
    <t>3.628.934.550</t>
  </si>
  <si>
    <t>130.331.185.950</t>
  </si>
  <si>
    <t>3.419.717.350</t>
  </si>
  <si>
    <t>135.452.799.750</t>
  </si>
  <si>
    <t>3.569.068.200</t>
  </si>
  <si>
    <t>142.673.643.750</t>
  </si>
  <si>
    <t>3.802.316.000</t>
  </si>
  <si>
    <t>153.346.722.600</t>
  </si>
  <si>
    <t>4.988.213.650</t>
  </si>
  <si>
    <t>164.593.876.350</t>
  </si>
  <si>
    <t>6.237.897.400</t>
  </si>
  <si>
    <t>177.059.760.600</t>
  </si>
  <si>
    <t>7.622.995.650</t>
  </si>
  <si>
    <t>186.792.773.700</t>
  </si>
  <si>
    <t>4.081.445.900</t>
  </si>
  <si>
    <t>199.484.306.400</t>
  </si>
  <si>
    <t>5.491.616.200</t>
  </si>
  <si>
    <t>213.559.310.100</t>
  </si>
  <si>
    <t>7.055.505.500</t>
  </si>
  <si>
    <t>228.468.952.650</t>
  </si>
  <si>
    <t>8.712.132.450</t>
  </si>
  <si>
    <t>243.884.025.300</t>
  </si>
  <si>
    <t>10.424.918.300</t>
  </si>
  <si>
    <t>257.677.415.400</t>
  </si>
  <si>
    <t>4.532.598.900</t>
  </si>
  <si>
    <t>270.263.424.450</t>
  </si>
  <si>
    <t>4.398.445.450</t>
  </si>
  <si>
    <t>281.084.510.550</t>
  </si>
  <si>
    <t>4.202.342.900</t>
  </si>
  <si>
    <t>297.045.137.100</t>
  </si>
  <si>
    <t>4.773.402.950</t>
  </si>
  <si>
    <t>15.830.247.100</t>
  </si>
  <si>
    <t>21.967.876.000</t>
  </si>
  <si>
    <t>317.948.300.400</t>
  </si>
  <si>
    <t>4.994.255.600</t>
  </si>
  <si>
    <t>337.543.447.350</t>
  </si>
  <si>
    <t>7.171.494.150</t>
  </si>
  <si>
    <t>67.784.892.000</t>
  </si>
  <si>
    <t>25.409.725.000</t>
  </si>
  <si>
    <t>314.186.714.850</t>
  </si>
  <si>
    <t>4.576.301.650</t>
  </si>
  <si>
    <t>33.007.128.150</t>
  </si>
  <si>
    <t>3.334.125.350</t>
  </si>
  <si>
    <t>36.274.024.650</t>
  </si>
  <si>
    <t>3.362.988.500</t>
  </si>
  <si>
    <t>38.633.758.050</t>
  </si>
  <si>
    <t>3.625.181.100</t>
  </si>
  <si>
    <t>41.561.844.600</t>
  </si>
  <si>
    <t>3.325.342.950</t>
  </si>
  <si>
    <t>45.053.287.500</t>
  </si>
  <si>
    <t>3.713.281.050</t>
  </si>
  <si>
    <t>47.354.753.100</t>
  </si>
  <si>
    <t>3.968.999.450</t>
  </si>
  <si>
    <t>49.665.978.300</t>
  </si>
  <si>
    <t>4.225.802.250</t>
  </si>
  <si>
    <t>52.411.684.800</t>
  </si>
  <si>
    <t>4.530.880.750</t>
  </si>
  <si>
    <t>55.439.469.300</t>
  </si>
  <si>
    <t>4.867.301.250</t>
  </si>
  <si>
    <t>58.191.976.650</t>
  </si>
  <si>
    <t>5.173.135.400</t>
  </si>
  <si>
    <t>61.542.131.250</t>
  </si>
  <si>
    <t>5.545.374.800</t>
  </si>
  <si>
    <t>62.575.096.350</t>
  </si>
  <si>
    <t>5.660.148.700</t>
  </si>
  <si>
    <t>31.730.182.500</t>
  </si>
  <si>
    <t>3.192.242.500</t>
  </si>
  <si>
    <t>33.986.568.900</t>
  </si>
  <si>
    <t>3.442.952.100</t>
  </si>
  <si>
    <t>35.985.134.550</t>
  </si>
  <si>
    <t>3.222.062.850</t>
  </si>
  <si>
    <t>37.855.412.400</t>
  </si>
  <si>
    <t>3.429.871.500</t>
  </si>
  <si>
    <t>40.422.908.100</t>
  </si>
  <si>
    <t>3.715.148.800</t>
  </si>
  <si>
    <t>42.733.638.750</t>
  </si>
  <si>
    <t>3.971.896.650</t>
  </si>
  <si>
    <t>44.500.277.100</t>
  </si>
  <si>
    <t>4.168.189.800</t>
  </si>
  <si>
    <t>47.522.322.750</t>
  </si>
  <si>
    <t>4.503.972.650</t>
  </si>
  <si>
    <t>49.053.378.900</t>
  </si>
  <si>
    <t>4.674.090.000</t>
  </si>
  <si>
    <t>51.723.546.150</t>
  </si>
  <si>
    <t>3.296.685.250</t>
  </si>
  <si>
    <t>54.037.387.650</t>
  </si>
  <si>
    <t>3.553.778.750</t>
  </si>
  <si>
    <t>56.657.129.250</t>
  </si>
  <si>
    <t>3.291.082.400</t>
  </si>
  <si>
    <t>59.286.413.550</t>
  </si>
  <si>
    <t>3.583.225.100</t>
  </si>
  <si>
    <t>62.127.460.650</t>
  </si>
  <si>
    <t>3.315.671.900</t>
  </si>
  <si>
    <t>64.999.817.400</t>
  </si>
  <si>
    <t>3.634.822.650</t>
  </si>
  <si>
    <t>67.987.995.600</t>
  </si>
  <si>
    <t>3.966.842.450</t>
  </si>
  <si>
    <t>70.914.719.100</t>
  </si>
  <si>
    <t>3.325.191.500</t>
  </si>
  <si>
    <t>74.105.630.400</t>
  </si>
  <si>
    <t>3.679.737.200</t>
  </si>
  <si>
    <t>76.722.113.100</t>
  </si>
  <si>
    <t>3.970.457.500</t>
  </si>
  <si>
    <t>80.672.952.450</t>
  </si>
  <si>
    <t>4.409.439.650</t>
  </si>
  <si>
    <t>87.506.345.100</t>
  </si>
  <si>
    <t>5.168.705.500</t>
  </si>
  <si>
    <t>94.939.428.000</t>
  </si>
  <si>
    <t>5.994.603.600</t>
  </si>
  <si>
    <t>103.450.239.300</t>
  </si>
  <si>
    <t>6.940.249.300</t>
  </si>
  <si>
    <t>108.455.115.900</t>
  </si>
  <si>
    <t>3.556.097.400</t>
  </si>
  <si>
    <t>113.275.605.450</t>
  </si>
  <si>
    <t>3.535.609.950</t>
  </si>
  <si>
    <t>119.737.487.100</t>
  </si>
  <si>
    <t>3.717.986.850</t>
  </si>
  <si>
    <t>126.939.109.350</t>
  </si>
  <si>
    <t>4.518.167.100</t>
  </si>
  <si>
    <t>132.641.850.900</t>
  </si>
  <si>
    <t>3.633.637.950</t>
  </si>
  <si>
    <t>143.092.525.800</t>
  </si>
  <si>
    <t>4.794.824.050</t>
  </si>
  <si>
    <t>152.070.473.550</t>
  </si>
  <si>
    <t>5.792.373.800</t>
  </si>
  <si>
    <t>162.187.998.600</t>
  </si>
  <si>
    <t>6.916.543.250</t>
  </si>
  <si>
    <t>173.134.617.600</t>
  </si>
  <si>
    <t>8.132.834.250</t>
  </si>
  <si>
    <t>182.756.987.850</t>
  </si>
  <si>
    <t>9.201.986.500</t>
  </si>
  <si>
    <t>189.389.158.500</t>
  </si>
  <si>
    <t>3.736.907.850</t>
  </si>
  <si>
    <t>197.848.321.500</t>
  </si>
  <si>
    <t>3.939.907.000</t>
  </si>
  <si>
    <t>208.900.641.000</t>
  </si>
  <si>
    <t>10.335.885.000</t>
  </si>
  <si>
    <t>216.683.739.750</t>
  </si>
  <si>
    <t>3.864.788.750</t>
  </si>
  <si>
    <t>228.605.423.700</t>
  </si>
  <si>
    <t>5.189.420.300</t>
  </si>
  <si>
    <t>32.545.913.250</t>
  </si>
  <si>
    <t>5.472.299.550</t>
  </si>
  <si>
    <t>34.647.376.800</t>
  </si>
  <si>
    <t>3.233.495.950</t>
  </si>
  <si>
    <t>37.179.227.550</t>
  </si>
  <si>
    <t>3.281.316.750</t>
  </si>
  <si>
    <t>39.241.663.950</t>
  </si>
  <si>
    <t>3.510.476.350</t>
  </si>
  <si>
    <t>31.979.607.600</t>
  </si>
  <si>
    <t>3.219.956.400</t>
  </si>
  <si>
    <t>34.384.548.450</t>
  </si>
  <si>
    <t>3.487.172.050</t>
  </si>
  <si>
    <t>36.732.966.150</t>
  </si>
  <si>
    <t>3.748.107.350</t>
  </si>
  <si>
    <t>38.721.118.800</t>
  </si>
  <si>
    <t>3.220.905.850</t>
  </si>
  <si>
    <t>41.320.607.700</t>
  </si>
  <si>
    <t>3.509.737.950</t>
  </si>
  <si>
    <t>43.365.680.850</t>
  </si>
  <si>
    <t>3.736.968.300</t>
  </si>
  <si>
    <t>46.138.454.400</t>
  </si>
  <si>
    <t>4.045.054.250</t>
  </si>
  <si>
    <t>48.757.939.050</t>
  </si>
  <si>
    <t>3.291.053.850</t>
  </si>
  <si>
    <t>50.919.272.400</t>
  </si>
  <si>
    <t>3.531.202.000</t>
  </si>
  <si>
    <t>53.279.767.650</t>
  </si>
  <si>
    <t>3.793.479.250</t>
  </si>
  <si>
    <t>55.693.842.150</t>
  </si>
  <si>
    <t>4.061.709.750</t>
  </si>
  <si>
    <t>58.348.724.700</t>
  </si>
  <si>
    <t>3.294.986.950</t>
  </si>
  <si>
    <t>60.968.881.650</t>
  </si>
  <si>
    <t>3.586.115.500</t>
  </si>
  <si>
    <t>64.498.682.550</t>
  </si>
  <si>
    <t>3.978.315.600</t>
  </si>
  <si>
    <t>67.050.862.500</t>
  </si>
  <si>
    <t>4.261.891.150</t>
  </si>
  <si>
    <t>69.661.431.750</t>
  </si>
  <si>
    <t>4.551.954.400</t>
  </si>
  <si>
    <t>72.583.734.450</t>
  </si>
  <si>
    <t>3.324.700.300</t>
  </si>
  <si>
    <t>75.549.116.100</t>
  </si>
  <si>
    <t>3.654.187.150</t>
  </si>
  <si>
    <t>78.817.363.500</t>
  </si>
  <si>
    <t>4.017.325.750</t>
  </si>
  <si>
    <t>82.059.437.100</t>
  </si>
  <si>
    <t>3.360.230.400</t>
  </si>
  <si>
    <t>86.067.388.200</t>
  </si>
  <si>
    <t>3.805.558.300</t>
  </si>
  <si>
    <t>89.911.590.600</t>
  </si>
  <si>
    <t>3.427.133.600</t>
  </si>
  <si>
    <t>94.545.136.200</t>
  </si>
  <si>
    <t>3.941.972.000</t>
  </si>
  <si>
    <t>98.379.136.650</t>
  </si>
  <si>
    <t>4.367.972.050</t>
  </si>
  <si>
    <t>102.984.137.400</t>
  </si>
  <si>
    <t>3.511.666.750</t>
  </si>
  <si>
    <t>108.078.091.050</t>
  </si>
  <si>
    <t>4.077.661.600</t>
  </si>
  <si>
    <t>115.151.146.950</t>
  </si>
  <si>
    <t>4.863.556.700</t>
  </si>
  <si>
    <t>123.535.166.700</t>
  </si>
  <si>
    <t>5.795.114.450</t>
  </si>
  <si>
    <t>133.000.167.000</t>
  </si>
  <si>
    <t>6.846.781.150</t>
  </si>
  <si>
    <t>142.136.315.400</t>
  </si>
  <si>
    <t>7.861.908.750</t>
  </si>
  <si>
    <t>148.717.283.700</t>
  </si>
  <si>
    <t>3.731.218.700</t>
  </si>
  <si>
    <t>31.944.274.950</t>
  </si>
  <si>
    <t>3.947.249.250</t>
  </si>
  <si>
    <t>33.829.311.900</t>
  </si>
  <si>
    <t>3.209.448.550</t>
  </si>
  <si>
    <t>35.592.679.650</t>
  </si>
  <si>
    <t>3.195.929.750</t>
  </si>
  <si>
    <t>38.354.528.100</t>
  </si>
  <si>
    <t>3.502.801.800</t>
  </si>
  <si>
    <t>40.954.938.600</t>
  </si>
  <si>
    <t>3.791.736.300</t>
  </si>
  <si>
    <t>43.415.255.550</t>
  </si>
  <si>
    <t>4.065.104.850</t>
  </si>
  <si>
    <t>46.129.206.900</t>
  </si>
  <si>
    <t>4.366.655.000</t>
  </si>
  <si>
    <t>48.362.506.500</t>
  </si>
  <si>
    <t>4.614.799.400</t>
  </si>
  <si>
    <t>51.077.854.200</t>
  </si>
  <si>
    <t>4.916.504.700</t>
  </si>
  <si>
    <t>54.820.284.600</t>
  </si>
  <si>
    <t>5.332.330.300</t>
  </si>
  <si>
    <t>57.805.702.500</t>
  </si>
  <si>
    <t>3.331.713.100</t>
  </si>
  <si>
    <t>60.242.121.300</t>
  </si>
  <si>
    <t>3.602.426.300</t>
  </si>
  <si>
    <t>63.109.454.250</t>
  </si>
  <si>
    <t>3.921.018.850</t>
  </si>
  <si>
    <t>66.033.314.400</t>
  </si>
  <si>
    <t>3.324.873.350</t>
  </si>
  <si>
    <t>69.481.767.900</t>
  </si>
  <si>
    <t>3.708.034.850</t>
  </si>
  <si>
    <t>75.376.744.950</t>
  </si>
  <si>
    <t>4.363.032.300</t>
  </si>
  <si>
    <t>82.155.882.450</t>
  </si>
  <si>
    <t>5.116.269.800</t>
  </si>
  <si>
    <t>89.056.708.500</t>
  </si>
  <si>
    <t>5.883.028.250</t>
  </si>
  <si>
    <t>96.561.728.400</t>
  </si>
  <si>
    <t>6.716.919.350</t>
  </si>
  <si>
    <t>104.087.275.950</t>
  </si>
  <si>
    <t>7.553.091.300</t>
  </si>
  <si>
    <t>108.199.429.950</t>
  </si>
  <si>
    <t>3.456.906.000</t>
  </si>
  <si>
    <t>114.127.792.950</t>
  </si>
  <si>
    <t>3.658.707.000</t>
  </si>
  <si>
    <t>121.982.452.050</t>
  </si>
  <si>
    <t>4.531.446.900</t>
  </si>
  <si>
    <t>128.073.792.900</t>
  </si>
  <si>
    <t>3.676.815.650</t>
  </si>
  <si>
    <t>135.414.821.550</t>
  </si>
  <si>
    <t>3.815.669.850</t>
  </si>
  <si>
    <t>31.753.393.950</t>
  </si>
  <si>
    <t>4.010.491.400</t>
  </si>
  <si>
    <t>33.763.433.250</t>
  </si>
  <si>
    <t>3.223.337.700</t>
  </si>
  <si>
    <t>36.109.769.250</t>
  </si>
  <si>
    <t>3.484.041.700</t>
  </si>
  <si>
    <t>37.793.396.100</t>
  </si>
  <si>
    <t>3.671.111.350</t>
  </si>
  <si>
    <t>39.902.397.600</t>
  </si>
  <si>
    <t>3.234.333.500</t>
  </si>
  <si>
    <t>41.746.660.050</t>
  </si>
  <si>
    <t>3.439.251.550</t>
  </si>
  <si>
    <t>44.261.572.800</t>
  </si>
  <si>
    <t>3.718.686.300</t>
  </si>
  <si>
    <t>46.209.201.600</t>
  </si>
  <si>
    <t>3.935.089.500</t>
  </si>
  <si>
    <t>48.562.514.850</t>
  </si>
  <si>
    <t>4.196.568.750</t>
  </si>
  <si>
    <t>31.876.928.850</t>
  </si>
  <si>
    <t>4.405.116.400</t>
  </si>
  <si>
    <t>33.815.698.950</t>
  </si>
  <si>
    <t>4.620.535.300</t>
  </si>
  <si>
    <t>36.193.391.850</t>
  </si>
  <si>
    <t>4.884.723.400</t>
  </si>
  <si>
    <t>38.546.257.350</t>
  </si>
  <si>
    <t>5.146.152.900</t>
  </si>
  <si>
    <t>40.900.773.450</t>
  </si>
  <si>
    <t>5.407.765.800</t>
  </si>
  <si>
    <t>43.645.177.200</t>
  </si>
  <si>
    <t>5.712.699.550</t>
  </si>
  <si>
    <t>46.018.127.550</t>
  </si>
  <si>
    <t>5.976.360.700</t>
  </si>
  <si>
    <t>49.732.972.050</t>
  </si>
  <si>
    <t>6.389.121.200</t>
  </si>
  <si>
    <t>52.747.586.850</t>
  </si>
  <si>
    <t>6.724.078.400</t>
  </si>
  <si>
    <t>55.644.928.050</t>
  </si>
  <si>
    <t>7.046.005.200</t>
  </si>
  <si>
    <t>59.319.380.550</t>
  </si>
  <si>
    <t>7.454.277.700</t>
  </si>
  <si>
    <t>62.674.223.700</t>
  </si>
  <si>
    <t>7.827.038.050</t>
  </si>
  <si>
    <t>66.365.326.200</t>
  </si>
  <si>
    <t>8.237.160.550</t>
  </si>
  <si>
    <t>70.379.762.250</t>
  </si>
  <si>
    <t>8.683.209.000</t>
  </si>
  <si>
    <t>74.036.618.400</t>
  </si>
  <si>
    <t>3.406.317.350</t>
  </si>
  <si>
    <t>77.102.412.150</t>
  </si>
  <si>
    <t>3.746.961.100</t>
  </si>
  <si>
    <t>79.934.678.850</t>
  </si>
  <si>
    <t>4.061.657.400</t>
  </si>
  <si>
    <t>84.093.740.850</t>
  </si>
  <si>
    <t>3.462.118.000</t>
  </si>
  <si>
    <t>91.035.300.900</t>
  </si>
  <si>
    <t>4.233.402.450</t>
  </si>
  <si>
    <t>96.543.610.950</t>
  </si>
  <si>
    <t>3.612.034.450</t>
  </si>
  <si>
    <t>101.684.818.650</t>
  </si>
  <si>
    <t>3.571.245.300</t>
  </si>
  <si>
    <t>107.773.238.100</t>
  </si>
  <si>
    <t>3.676.491.050</t>
  </si>
  <si>
    <t>115.151.239.200</t>
  </si>
  <si>
    <t>3.819.777.900</t>
  </si>
  <si>
    <t>123.635.113.500</t>
  </si>
  <si>
    <t>4.762.430.600</t>
  </si>
  <si>
    <t>133.643.776.800</t>
  </si>
  <si>
    <t>5.874.504.300</t>
  </si>
  <si>
    <t>143.802.230.700</t>
  </si>
  <si>
    <t>7.003.221.400</t>
  </si>
  <si>
    <t>153.077.300.400</t>
  </si>
  <si>
    <t>8.033.784.700</t>
  </si>
  <si>
    <t>164.088.133.950</t>
  </si>
  <si>
    <t>9.257.210.650</t>
  </si>
  <si>
    <t>175.595.022.300</t>
  </si>
  <si>
    <t>10.535.753.800</t>
  </si>
  <si>
    <t>186.303.633.150</t>
  </si>
  <si>
    <t>11.725.599.450</t>
  </si>
  <si>
    <t>32.223.916.650</t>
  </si>
  <si>
    <t>11.972.701.300</t>
  </si>
  <si>
    <t>34.854.249.450</t>
  </si>
  <si>
    <t>12.264.960.500</t>
  </si>
  <si>
    <t>37.221.951.000</t>
  </si>
  <si>
    <t>3.263.077.950</t>
  </si>
  <si>
    <t>39.367.446.600</t>
  </si>
  <si>
    <t>3.501.466.350</t>
  </si>
  <si>
    <t>41.867.135.850</t>
  </si>
  <si>
    <t>3.779.209.600</t>
  </si>
  <si>
    <t>44.401.898.100</t>
  </si>
  <si>
    <t>4.060.849.850</t>
  </si>
  <si>
    <t>47.047.684.800</t>
  </si>
  <si>
    <t>4.354.826.150</t>
  </si>
  <si>
    <t>50.285.338.500</t>
  </si>
  <si>
    <t>4.714.565.450</t>
  </si>
  <si>
    <t>53.378.153.850</t>
  </si>
  <si>
    <t>5.058.211.600</t>
  </si>
  <si>
    <t>56.252.064.000</t>
  </si>
  <si>
    <t>5.377.534.950</t>
  </si>
  <si>
    <t>59.711.369.250</t>
  </si>
  <si>
    <t>5.761.902.200</t>
  </si>
  <si>
    <t>62.979.397.950</t>
  </si>
  <si>
    <t>6.125.016.500</t>
  </si>
  <si>
    <t>68.101.773.600</t>
  </si>
  <si>
    <t>6.694.169.350</t>
  </si>
  <si>
    <t>71.571.443.250</t>
  </si>
  <si>
    <t>3.385.518.850</t>
  </si>
  <si>
    <t>76.782.911.700</t>
  </si>
  <si>
    <t>3.964.570.900</t>
  </si>
  <si>
    <t>82.629.952.950</t>
  </si>
  <si>
    <t>4.614.242.150</t>
  </si>
  <si>
    <t>89.374.369.800</t>
  </si>
  <si>
    <t>5.363.621.800</t>
  </si>
  <si>
    <t>92.683.982.550</t>
  </si>
  <si>
    <t>3.367.734.750</t>
  </si>
  <si>
    <t>99.353.641.350</t>
  </si>
  <si>
    <t>4.108.807.950</t>
  </si>
  <si>
    <t>108.136.393.500</t>
  </si>
  <si>
    <t>5.084.669.300</t>
  </si>
  <si>
    <t>115.812.032.250</t>
  </si>
  <si>
    <t>5.937.518.050</t>
  </si>
  <si>
    <t>124.379.568.750</t>
  </si>
  <si>
    <t>6.889.466.550</t>
  </si>
  <si>
    <t>134.006.693.250</t>
  </si>
  <si>
    <t>7.959.147.050</t>
  </si>
  <si>
    <t>140.519.788.050</t>
  </si>
  <si>
    <t>3.723.677.200</t>
  </si>
  <si>
    <t>146.813.952.000</t>
  </si>
  <si>
    <t>3.699.351.550</t>
  </si>
  <si>
    <t>153.441.786.900</t>
  </si>
  <si>
    <t>3.736.426.100</t>
  </si>
  <si>
    <t>160.738.006.800</t>
  </si>
  <si>
    <t>3.810.691.100</t>
  </si>
  <si>
    <t>170.827.938.300</t>
  </si>
  <si>
    <t>4.931.794.600</t>
  </si>
  <si>
    <t>180.795.936.450</t>
  </si>
  <si>
    <t>6.039.349.950</t>
  </si>
  <si>
    <t>191.760.348.000</t>
  </si>
  <si>
    <t>7.257.617.900</t>
  </si>
  <si>
    <t>202.986.697.350</t>
  </si>
  <si>
    <t>8.504.990.050</t>
  </si>
  <si>
    <t>216.184.106.550</t>
  </si>
  <si>
    <t>9.971.368.850</t>
  </si>
  <si>
    <t>224.635.393.650</t>
  </si>
  <si>
    <t>3.939.031.900</t>
  </si>
  <si>
    <t>233.787.794.700</t>
  </si>
  <si>
    <t>4.016.933.450</t>
  </si>
  <si>
    <t>243.233.929.650</t>
  </si>
  <si>
    <t>4.049.570.550</t>
  </si>
  <si>
    <t>252.732.816.750</t>
  </si>
  <si>
    <t>4.055.431.900</t>
  </si>
  <si>
    <t>262.386.486.300</t>
  </si>
  <si>
    <t>4.072.629.950</t>
  </si>
  <si>
    <t>276.667.996.350</t>
  </si>
  <si>
    <t>5.659.464.400</t>
  </si>
  <si>
    <t>289.868.136.600</t>
  </si>
  <si>
    <t>7.126.146.650</t>
  </si>
  <si>
    <t>12.230.538.750</t>
  </si>
  <si>
    <t>16.003.987.500</t>
  </si>
  <si>
    <t>311.454.641.100</t>
  </si>
  <si>
    <t>4.272.737.900</t>
  </si>
  <si>
    <t>32.691.122.500</t>
  </si>
  <si>
    <t>313.594.940.100</t>
  </si>
  <si>
    <t>4.510.548.900</t>
  </si>
  <si>
    <t>328.889.332.200</t>
  </si>
  <si>
    <t>6.209.925.800</t>
  </si>
  <si>
    <t>344.987.346.900</t>
  </si>
  <si>
    <t>7.998.594.100</t>
  </si>
  <si>
    <t>32.585.071.800</t>
  </si>
  <si>
    <t>3.287.230.200</t>
  </si>
  <si>
    <t>34.913.854.650</t>
  </si>
  <si>
    <t>3.545.983.850</t>
  </si>
  <si>
    <t>36.575.526.450</t>
  </si>
  <si>
    <t>3.730.614.050</t>
  </si>
  <si>
    <t>38.667.639.450</t>
  </si>
  <si>
    <t>3.963.071.050</t>
  </si>
  <si>
    <t>40.691.043.300</t>
  </si>
  <si>
    <t>4.187.893.700</t>
  </si>
  <si>
    <t>43.206.543.300</t>
  </si>
  <si>
    <t>3.279.500.000</t>
  </si>
  <si>
    <t>46.027.096.050</t>
  </si>
  <si>
    <t>3.592.894.750</t>
  </si>
  <si>
    <t>48.494.261.550</t>
  </si>
  <si>
    <t>3.867.024.250</t>
  </si>
  <si>
    <t>50.929.534.650</t>
  </si>
  <si>
    <t>4.137.610.150</t>
  </si>
  <si>
    <t>53.813.039.700</t>
  </si>
  <si>
    <t>3.320.389.450</t>
  </si>
  <si>
    <t>56.313.287.400</t>
  </si>
  <si>
    <t>3.277.805.300</t>
  </si>
  <si>
    <t>58.984.238.100</t>
  </si>
  <si>
    <t>3.574.577.600</t>
  </si>
  <si>
    <t>62.224.001.850</t>
  </si>
  <si>
    <t>3.934.551.350</t>
  </si>
  <si>
    <t>64.599.673.800</t>
  </si>
  <si>
    <t>3.263.963.550</t>
  </si>
  <si>
    <t>67.268.820.900</t>
  </si>
  <si>
    <t>3.560.535.452</t>
  </si>
  <si>
    <t>70.743.552.150</t>
  </si>
  <si>
    <t>3.386.081.250</t>
  </si>
  <si>
    <t>73.030.078.650</t>
  </si>
  <si>
    <t>3.254.058.500</t>
  </si>
  <si>
    <t>76.136.581.650</t>
  </si>
  <si>
    <t>3.345.167.000</t>
  </si>
  <si>
    <t>79.666.261.500</t>
  </si>
  <si>
    <t>3.737.353.650</t>
  </si>
  <si>
    <t>82.146.504.900</t>
  </si>
  <si>
    <t>4.012.936.250</t>
  </si>
  <si>
    <t>87.579.465.150</t>
  </si>
  <si>
    <t>4.616.598.500</t>
  </si>
  <si>
    <t>91.324.162.650</t>
  </si>
  <si>
    <t>3.416.077.500</t>
  </si>
  <si>
    <t>97.840.187.850</t>
  </si>
  <si>
    <t>4.140.080.300</t>
  </si>
  <si>
    <t>104.453.902.200</t>
  </si>
  <si>
    <t>4.874.937.450</t>
  </si>
  <si>
    <t>110.073.962.550</t>
  </si>
  <si>
    <t>3.624.451.150</t>
  </si>
  <si>
    <t>118.117.411.500</t>
  </si>
  <si>
    <t>4.518.167.700</t>
  </si>
  <si>
    <t>124.998.778.200</t>
  </si>
  <si>
    <t>5.282.764.000</t>
  </si>
  <si>
    <t>132.914.971.200</t>
  </si>
  <si>
    <t>6.162.341.000</t>
  </si>
  <si>
    <t>138.551.627.550</t>
  </si>
  <si>
    <t>3.626.295.150</t>
  </si>
  <si>
    <t>143.697.475.200</t>
  </si>
  <si>
    <t>3.571.760.850</t>
  </si>
  <si>
    <t>152.898.886.650</t>
  </si>
  <si>
    <t>4.594.139.900</t>
  </si>
  <si>
    <t>162.106.874.400</t>
  </si>
  <si>
    <t>5.617.249.650</t>
  </si>
  <si>
    <t>170.181.303.150</t>
  </si>
  <si>
    <t>6.514.408.400</t>
  </si>
  <si>
    <t>179.058.846.000</t>
  </si>
  <si>
    <t>7.500.802.050</t>
  </si>
  <si>
    <t>31.587.845.700</t>
  </si>
  <si>
    <t>3.176.427.300</t>
  </si>
  <si>
    <t>33.319.528.500</t>
  </si>
  <si>
    <t>3.192.409.200</t>
  </si>
  <si>
    <t>35.025.141.900</t>
  </si>
  <si>
    <t>3.189.512.600</t>
  </si>
  <si>
    <t>36.773.066.100</t>
  </si>
  <si>
    <t>3.383.726.400</t>
  </si>
  <si>
    <t>31.626.228.000</t>
  </si>
  <si>
    <t>3.564.418.400</t>
  </si>
  <si>
    <t>33.287.273.850</t>
  </si>
  <si>
    <t>3.184.560.650</t>
  </si>
  <si>
    <t>34.989.782.700</t>
  </si>
  <si>
    <t>3.373.728.300</t>
  </si>
  <si>
    <t>36.097.198.950</t>
  </si>
  <si>
    <t>3.496.774.550</t>
  </si>
  <si>
    <t>37.705.495.800</t>
  </si>
  <si>
    <t>3.675.474.200</t>
  </si>
  <si>
    <t>39.936.636.300</t>
  </si>
  <si>
    <t>3.923.378.700</t>
  </si>
  <si>
    <t>41.488.510.800</t>
  </si>
  <si>
    <t>4.095.809.200</t>
  </si>
  <si>
    <t>43.789.084.050</t>
  </si>
  <si>
    <t>3.255.619.250</t>
  </si>
  <si>
    <t>46.373.178.900</t>
  </si>
  <si>
    <t>3.287.121.650</t>
  </si>
  <si>
    <t>48.225.227.700</t>
  </si>
  <si>
    <t>3.492.904.850</t>
  </si>
  <si>
    <t>50.350.993.050</t>
  </si>
  <si>
    <t>3.236.196.150</t>
  </si>
  <si>
    <t>52.441.587.750</t>
  </si>
  <si>
    <t>3.468.484.450</t>
  </si>
  <si>
    <t>54.754.526.550</t>
  </si>
  <si>
    <t>3.725.477.650</t>
  </si>
  <si>
    <t>57.859.966.200</t>
  </si>
  <si>
    <t>3.345.048.850</t>
  </si>
  <si>
    <t>60.698.802.000</t>
  </si>
  <si>
    <t>3.660.475.050</t>
  </si>
  <si>
    <t>63.714.494.100</t>
  </si>
  <si>
    <t>3.995.551.950</t>
  </si>
  <si>
    <t>66.647.263.800</t>
  </si>
  <si>
    <t>3.325.863.300</t>
  </si>
  <si>
    <t>69.003.198.300</t>
  </si>
  <si>
    <t>3.587.633.800</t>
  </si>
  <si>
    <t>71.484.993.300</t>
  </si>
  <si>
    <t>3.275.755.000</t>
  </si>
  <si>
    <t>74.915.017.950</t>
  </si>
  <si>
    <t>3.656.868.850</t>
  </si>
  <si>
    <t>76.934.411.400</t>
  </si>
  <si>
    <t>3.881.245.900</t>
  </si>
  <si>
    <t>80.418.746.100</t>
  </si>
  <si>
    <t>4.268.394.200</t>
  </si>
  <si>
    <t>84.266.750.100</t>
  </si>
  <si>
    <t>4.695.950.200</t>
  </si>
  <si>
    <t>87.887.521.200</t>
  </si>
  <si>
    <t>3.402.307.900</t>
  </si>
  <si>
    <t>91.214.740.200</t>
  </si>
  <si>
    <t>3.771.998.900</t>
  </si>
  <si>
    <t>94.702.633.950</t>
  </si>
  <si>
    <t>4.159.542.650</t>
  </si>
  <si>
    <t>98.843.019.600</t>
  </si>
  <si>
    <t>4.619.585.500</t>
  </si>
  <si>
    <t>101.125.122.150</t>
  </si>
  <si>
    <t>3.253.566.950</t>
  </si>
  <si>
    <t>106.675.498.650</t>
  </si>
  <si>
    <t>3.870.275.450</t>
  </si>
  <si>
    <t>110.723.398.050</t>
  </si>
  <si>
    <t>3.449.766.600</t>
  </si>
  <si>
    <t>115.627.287.900</t>
  </si>
  <si>
    <t>3.994.643.250</t>
  </si>
  <si>
    <t>117.271.471.350</t>
  </si>
  <si>
    <t>4.177.330.300</t>
  </si>
  <si>
    <t>123.854.457.900</t>
  </si>
  <si>
    <t>3.731.442.950</t>
  </si>
  <si>
    <t>133.260.892.500</t>
  </si>
  <si>
    <t>4.776.602.350</t>
  </si>
  <si>
    <t>144.058.214.100</t>
  </si>
  <si>
    <t>5.976.304.750</t>
  </si>
  <si>
    <t>153.894.010.350</t>
  </si>
  <si>
    <t>7.069.171.000</t>
  </si>
  <si>
    <t>164.499.610.350</t>
  </si>
  <si>
    <t>8.247.571.000</t>
  </si>
  <si>
    <t>176.547.951.300</t>
  </si>
  <si>
    <t>9.586.275.550</t>
  </si>
  <si>
    <t>Bộ số</t>
  </si>
  <si>
    <t>J1</t>
  </si>
  <si>
    <t>J2</t>
  </si>
  <si>
    <t>Ngày</t>
  </si>
  <si>
    <t>T3, 01/08/2017</t>
  </si>
  <si>
    <t>05 10 14 23 24 38 35</t>
  </si>
  <si>
    <t>T5, 03/08/2017</t>
  </si>
  <si>
    <t>04 09 24 25 27 45 40</t>
  </si>
  <si>
    <t>T7, 05/08/2017</t>
  </si>
  <si>
    <t>01 05 11 32 40 45 43</t>
  </si>
  <si>
    <t>T3, 08/08/2017</t>
  </si>
  <si>
    <t>19 36 39 41 46 51 38</t>
  </si>
  <si>
    <t>T5, 10/08/2017</t>
  </si>
  <si>
    <t>10 11 19 41 50 54 03</t>
  </si>
  <si>
    <t>T7, 12/08/2017</t>
  </si>
  <si>
    <t>06 16 20 32 38 51 34</t>
  </si>
  <si>
    <t>T3, 15/08/2017</t>
  </si>
  <si>
    <t>07 11 19 32 33 51 30</t>
  </si>
  <si>
    <t>T5, 17/08/2017</t>
  </si>
  <si>
    <t>11 12 20 30 32 34 53</t>
  </si>
  <si>
    <t>T7, 19/08/2017</t>
  </si>
  <si>
    <t>07 11 13 15 26 51 36</t>
  </si>
  <si>
    <t>T3, 22/08/2017</t>
  </si>
  <si>
    <t>10 24 31 32 38 44 14</t>
  </si>
  <si>
    <t>T5, 24/08/2017</t>
  </si>
  <si>
    <t>05 16 18 37 42 46 10</t>
  </si>
  <si>
    <t>T7, 26/08/2017</t>
  </si>
  <si>
    <t>17 25 30 31 36 41 20</t>
  </si>
  <si>
    <t>T3, 29/08/2017</t>
  </si>
  <si>
    <t>04 12 15 23 24 41 44</t>
  </si>
  <si>
    <t>T5, 31/08/2017</t>
  </si>
  <si>
    <t>08 20 27 35 36 47 18</t>
  </si>
  <si>
    <t>T7, 02/09/2017</t>
  </si>
  <si>
    <t>05 09 11 18 19 37 50</t>
  </si>
  <si>
    <t>T3, 05/09/2017</t>
  </si>
  <si>
    <t>01 02 08 13 23 39 09</t>
  </si>
  <si>
    <t>T5, 07/09/2017</t>
  </si>
  <si>
    <t>04 18 22 31 32 40 08</t>
  </si>
  <si>
    <t>T7, 09/09/2017</t>
  </si>
  <si>
    <t>01 15 23 36 43 54 12</t>
  </si>
  <si>
    <t>T3, 12/09/2017</t>
  </si>
  <si>
    <t>06 10 12 47 48 51 35</t>
  </si>
  <si>
    <t>T5, 14/09/2017</t>
  </si>
  <si>
    <t>22 23 32 43 44 51 15</t>
  </si>
  <si>
    <t>T7, 16/09/2017</t>
  </si>
  <si>
    <t>09 12 21 26 29 52 24</t>
  </si>
  <si>
    <t>T3, 19/09/2017</t>
  </si>
  <si>
    <t>03 32 36 41 44 53 45</t>
  </si>
  <si>
    <t>T5, 21/09/2017</t>
  </si>
  <si>
    <t>09 12 16 24 43 51 39</t>
  </si>
  <si>
    <t>T7, 23/09/2017</t>
  </si>
  <si>
    <t>07 08 27 36 44 53 49</t>
  </si>
  <si>
    <t>T3, 26/09/2017</t>
  </si>
  <si>
    <t>14 15 18 30 36 49 19</t>
  </si>
  <si>
    <t>T5, 28/09/2017</t>
  </si>
  <si>
    <t>20 27 28 31 39 47 10</t>
  </si>
  <si>
    <t>T7, 30/09/2017</t>
  </si>
  <si>
    <t>04 17 23 25 34 46 24</t>
  </si>
  <si>
    <t>T3, 03/10/2017</t>
  </si>
  <si>
    <t>21 31 35 41 46 50 23</t>
  </si>
  <si>
    <t>T5, 05/10/2017</t>
  </si>
  <si>
    <t>01 03 14 19 35 41 20</t>
  </si>
  <si>
    <t>T7, 07/10/2017</t>
  </si>
  <si>
    <t>31 34 40 42 43 49 16</t>
  </si>
  <si>
    <t>T3, 10/10/2017</t>
  </si>
  <si>
    <t>29 33 43 44 45 50 41</t>
  </si>
  <si>
    <t>T5, 12/10/2017</t>
  </si>
  <si>
    <t>05 08 11 31 37 42 52</t>
  </si>
  <si>
    <t>T7, 14/10/2017</t>
  </si>
  <si>
    <t>14 18 29 35 44 49 54</t>
  </si>
  <si>
    <t>T3, 17/10/2017</t>
  </si>
  <si>
    <t>01 26 36 40 50 54 31</t>
  </si>
  <si>
    <t>T5, 19/10/2017</t>
  </si>
  <si>
    <t>06 15 17 24 40 45 39</t>
  </si>
  <si>
    <t>T7, 21/10/2017</t>
  </si>
  <si>
    <t>04 09 13 16 18 49 30</t>
  </si>
  <si>
    <t>T3, 24/10/2017</t>
  </si>
  <si>
    <t>01 02 09 13 32 35 52</t>
  </si>
  <si>
    <t>T5, 26/10/2017</t>
  </si>
  <si>
    <t>02 10 15 30 34 50 03</t>
  </si>
  <si>
    <t>T7, 28/10/2017</t>
  </si>
  <si>
    <t>13 18 35 36 41 48 47</t>
  </si>
  <si>
    <t>T3, 31/10/2017</t>
  </si>
  <si>
    <t>07 13 24 45 47 52 33</t>
  </si>
  <si>
    <t>T5, 02/11/2017</t>
  </si>
  <si>
    <t>03 09 12 21 51 52 07</t>
  </si>
  <si>
    <t>T7, 04/11/2017</t>
  </si>
  <si>
    <t>02 08 12 44 46 52 09</t>
  </si>
  <si>
    <t>T3, 07/11/2017</t>
  </si>
  <si>
    <t>19 32 36 37 42 54 28</t>
  </si>
  <si>
    <t>T5, 09/11/2017</t>
  </si>
  <si>
    <t>02 03 06 23 34 36 50</t>
  </si>
  <si>
    <t>T7, 11/11/2017</t>
  </si>
  <si>
    <t>12 26 33 35 36 44 01</t>
  </si>
  <si>
    <t>T3, 14/11/2017</t>
  </si>
  <si>
    <t>20 24 29 41 47 49 22</t>
  </si>
  <si>
    <t>T5, 16/11/2017</t>
  </si>
  <si>
    <t>01 16 22 25 47 48 21</t>
  </si>
  <si>
    <t>T7, 18/11/2017</t>
  </si>
  <si>
    <t>11 12 26 42 50 54 17</t>
  </si>
  <si>
    <t>T3, 21/11/2017</t>
  </si>
  <si>
    <t>05 08 23 37 38 54 55</t>
  </si>
  <si>
    <t>T5, 23/11/2017</t>
  </si>
  <si>
    <t>01 02 03 18 25 50 14</t>
  </si>
  <si>
    <t>T7, 25/11/2017</t>
  </si>
  <si>
    <t>02 09 16 46 52 55 50</t>
  </si>
  <si>
    <t>T3, 28/11/2017</t>
  </si>
  <si>
    <t>02 19 39 49 51 53 20</t>
  </si>
  <si>
    <t>T5, 30/11/2017</t>
  </si>
  <si>
    <t>05 13 26 37 53 55 28</t>
  </si>
  <si>
    <t>T7, 02/12/2017</t>
  </si>
  <si>
    <t>09 37 45 50 53 54 40</t>
  </si>
  <si>
    <t>T3, 05/12/2017</t>
  </si>
  <si>
    <t>27 38 40 42 46 55 05</t>
  </si>
  <si>
    <t>T5, 07/12/2017</t>
  </si>
  <si>
    <t>03 14 26 35 44 54 25</t>
  </si>
  <si>
    <t>T7, 09/12/2017</t>
  </si>
  <si>
    <t>05 34 35 42 49 52 21</t>
  </si>
  <si>
    <t>T3, 12/12/2017</t>
  </si>
  <si>
    <t>06 07 08 21 32 39 27</t>
  </si>
  <si>
    <t>T5, 14/12/2017</t>
  </si>
  <si>
    <t>11 12 22 28 46 50 07</t>
  </si>
  <si>
    <t>T7, 16/12/2017</t>
  </si>
  <si>
    <t>05 23 37 41 43 53 25</t>
  </si>
  <si>
    <t>T3, 19/12/2017</t>
  </si>
  <si>
    <t>02 03 20 25 38 44 12</t>
  </si>
  <si>
    <t>T5, 21/12/2017</t>
  </si>
  <si>
    <t>22 23 27 35 37 46 19</t>
  </si>
  <si>
    <t>T7, 23/12/2017</t>
  </si>
  <si>
    <t>07 08 09 13 28 44 12</t>
  </si>
  <si>
    <t>T3, 26/12/2017</t>
  </si>
  <si>
    <t>07 11 13 18 26 42 49</t>
  </si>
  <si>
    <t>T5, 28/12/2017</t>
  </si>
  <si>
    <t>07 18 26 29 31 35 34</t>
  </si>
  <si>
    <t>T7, 30/12/2017</t>
  </si>
  <si>
    <t>08 09 36 37 39 50 07</t>
  </si>
  <si>
    <t>T3, 02/01/2018</t>
  </si>
  <si>
    <t>04 07 08 34 37 47 24</t>
  </si>
  <si>
    <t>T5, 04/01/2018</t>
  </si>
  <si>
    <t>01 07 31 35 46 55 51</t>
  </si>
  <si>
    <t>T7, 06/01/2018</t>
  </si>
  <si>
    <t>04 11 24 35 41 45 17</t>
  </si>
  <si>
    <t>T3, 09/01/2018</t>
  </si>
  <si>
    <t>18 25 28 46 50 51 15</t>
  </si>
  <si>
    <t>T5, 11/01/2018</t>
  </si>
  <si>
    <t>04 07 30 35 37 45 01</t>
  </si>
  <si>
    <t>T7, 13/01/2018</t>
  </si>
  <si>
    <t>03 21 25 26 51 55 37</t>
  </si>
  <si>
    <t>T3, 16/01/2018</t>
  </si>
  <si>
    <t>06 27 33 41 42 49 22</t>
  </si>
  <si>
    <t>T5, 18/01/2018</t>
  </si>
  <si>
    <t>12 24 28 30 36 39 15</t>
  </si>
  <si>
    <t>T7, 20/01/2018</t>
  </si>
  <si>
    <t>02 07 15 16 41 45 19</t>
  </si>
  <si>
    <t>T3, 23/01/2018</t>
  </si>
  <si>
    <t>03 10 15 23 41 53 35</t>
  </si>
  <si>
    <t>T5, 25/01/2018</t>
  </si>
  <si>
    <t>01 10 30 44 45 50 04</t>
  </si>
  <si>
    <t>T7, 27/01/2018</t>
  </si>
  <si>
    <t>21 26 36 38 40 50 11</t>
  </si>
  <si>
    <t>T3, 30/01/2018</t>
  </si>
  <si>
    <t>15 19 24 51 53 55 29</t>
  </si>
  <si>
    <t>T5, 01/02/2018</t>
  </si>
  <si>
    <t>01 07 08 09 39 43 52</t>
  </si>
  <si>
    <t>T7, 03/02/2018</t>
  </si>
  <si>
    <t>12 29 42 48 54 55 18</t>
  </si>
  <si>
    <t>T3, 06/02/2018</t>
  </si>
  <si>
    <t>01 20 29 31 43 53 16</t>
  </si>
  <si>
    <t>T5, 08/02/2018</t>
  </si>
  <si>
    <t>21 22 29 37 41 50 33</t>
  </si>
  <si>
    <t>T7, 10/02/2018</t>
  </si>
  <si>
    <t>08 10 19 25 36 46 07</t>
  </si>
  <si>
    <t>T3, 13/02/2018</t>
  </si>
  <si>
    <t>09 25 26 30 42 54 19</t>
  </si>
  <si>
    <t>T7, 17/02/2018</t>
  </si>
  <si>
    <t>16 22 28 29 35 43 45</t>
  </si>
  <si>
    <t>T3, 20/02/2018</t>
  </si>
  <si>
    <t>01 02 21 24 50 52 33</t>
  </si>
  <si>
    <t>T5, 22/02/2018</t>
  </si>
  <si>
    <t>11 14 32 36 42 48 20</t>
  </si>
  <si>
    <t>T7, 24/02/2018</t>
  </si>
  <si>
    <t>05 07 24 32 45 49 01</t>
  </si>
  <si>
    <t>T3, 27/02/2018</t>
  </si>
  <si>
    <t>08 16 23 28 44 49 45</t>
  </si>
  <si>
    <t>T5, 01/03/2018</t>
  </si>
  <si>
    <t>04 05 07 17 20 38 09</t>
  </si>
  <si>
    <t>T7, 03/03/2018</t>
  </si>
  <si>
    <t>04 10 32 37 47 52 49</t>
  </si>
  <si>
    <t>T3, 06/03/2018</t>
  </si>
  <si>
    <t>02 06 13 22 40 48 12</t>
  </si>
  <si>
    <t>T5, 08/03/2018</t>
  </si>
  <si>
    <t>14 17 18 23 41 52 40</t>
  </si>
  <si>
    <t>T7, 10/03/2018</t>
  </si>
  <si>
    <t>09 20 27 31 48 49 42</t>
  </si>
  <si>
    <t>T3, 13/03/2018</t>
  </si>
  <si>
    <t>01 02 17 46 47 49 44</t>
  </si>
  <si>
    <t>T5, 15/03/2018</t>
  </si>
  <si>
    <t>15 20 23 28 39 49 19</t>
  </si>
  <si>
    <t>T7, 17/03/2018</t>
  </si>
  <si>
    <t>03 14 28 35 50 52 29</t>
  </si>
  <si>
    <t>T3, 20/03/2018</t>
  </si>
  <si>
    <t>11 40 43 46 49 55 37</t>
  </si>
  <si>
    <t>T5, 22/03/2018</t>
  </si>
  <si>
    <t>01 08 24 33 34 41 20</t>
  </si>
  <si>
    <t>T7, 24/03/2018</t>
  </si>
  <si>
    <t>01 30 38 45 48 50 12</t>
  </si>
  <si>
    <t>T3, 27/03/2018</t>
  </si>
  <si>
    <t>09 13 14 15 54 55 22</t>
  </si>
  <si>
    <t>T5, 29/03/2018</t>
  </si>
  <si>
    <t>05 27 35 39 46 52 31</t>
  </si>
  <si>
    <t>T7, 31/03/2018</t>
  </si>
  <si>
    <t>03 07 31 43 51 53 26</t>
  </si>
  <si>
    <t>T3, 03/04/2018</t>
  </si>
  <si>
    <t>20 21 39 42 51 53 01</t>
  </si>
  <si>
    <t>T5, 05/04/2018</t>
  </si>
  <si>
    <t>07 09 17 25 31 32 06</t>
  </si>
  <si>
    <t>T7, 07/04/2018</t>
  </si>
  <si>
    <t>12 24 33 34 36 53 05</t>
  </si>
  <si>
    <t>T3, 10/04/2018</t>
  </si>
  <si>
    <t>01 22 25 31 36 48 41</t>
  </si>
  <si>
    <t>T5, 12/04/2018</t>
  </si>
  <si>
    <t>04 29 35 37 42 54 19</t>
  </si>
  <si>
    <t>T7, 14/04/2018</t>
  </si>
  <si>
    <t>02 10 14 26 45 54 20</t>
  </si>
  <si>
    <t>T3, 17/04/2018</t>
  </si>
  <si>
    <t>02 10 26 27 31 38 39</t>
  </si>
  <si>
    <t>T5, 19/04/2018</t>
  </si>
  <si>
    <t>04 17 19 35 49 55 09</t>
  </si>
  <si>
    <t>T7, 21/04/2018</t>
  </si>
  <si>
    <t>16 18 41 43 46 55 35</t>
  </si>
  <si>
    <t>T3, 24/04/2018</t>
  </si>
  <si>
    <t>17 18 24 40 41 46 06</t>
  </si>
  <si>
    <t>T5, 26/04/2018</t>
  </si>
  <si>
    <t>23 26 29 31 36 54 55</t>
  </si>
  <si>
    <t>T7, 28/04/2018</t>
  </si>
  <si>
    <t>12 19 22 29 32 46 25</t>
  </si>
  <si>
    <t>T3, 01/05/2018</t>
  </si>
  <si>
    <t>01 07 20 23 25 38 14</t>
  </si>
  <si>
    <t>T5, 03/05/2018</t>
  </si>
  <si>
    <t>23 27 33 37 39 49 44</t>
  </si>
  <si>
    <t>T7, 05/05/2018</t>
  </si>
  <si>
    <t>16 32 33 37 40 48 15</t>
  </si>
  <si>
    <t>T3, 08/05/2018</t>
  </si>
  <si>
    <t>03 16 23 24 38 42 48</t>
  </si>
  <si>
    <t>T5, 10/05/2018</t>
  </si>
  <si>
    <t>02 06 08 34 39 43 11</t>
  </si>
  <si>
    <t>T7, 12/05/2018</t>
  </si>
  <si>
    <t>01 09 26 38 54 55 51</t>
  </si>
  <si>
    <t>T3, 15/05/2018</t>
  </si>
  <si>
    <t>03 06 29 37 44 49 24</t>
  </si>
  <si>
    <t>T5, 17/05/2018</t>
  </si>
  <si>
    <t>13 31 38 45 53 55 46</t>
  </si>
  <si>
    <t>T7, 19/05/2018</t>
  </si>
  <si>
    <t>33 35 45 52 53 55 25</t>
  </si>
  <si>
    <t>T3, 22/05/2018</t>
  </si>
  <si>
    <t>04 05 08 17 35 47 39</t>
  </si>
  <si>
    <t>T5, 24/05/2018</t>
  </si>
  <si>
    <t>24 25 26 29 36 48 40</t>
  </si>
  <si>
    <t>T7, 26/05/2018</t>
  </si>
  <si>
    <t>07 12 28 31 40 44 15</t>
  </si>
  <si>
    <t>T3, 29/05/2018</t>
  </si>
  <si>
    <t>09 13 17 18 46 50 26</t>
  </si>
  <si>
    <t>T5, 31/05/2018</t>
  </si>
  <si>
    <t>03 15 18 25 26 29 19</t>
  </si>
  <si>
    <t>T7, 02/06/2018</t>
  </si>
  <si>
    <t>05 07 17 22 32 33 06</t>
  </si>
  <si>
    <t>T3, 05/06/2018</t>
  </si>
  <si>
    <t>11 21 26 32 51 52 05</t>
  </si>
  <si>
    <t>T5, 07/06/2018</t>
  </si>
  <si>
    <t>11 16 18 26 46 47 42</t>
  </si>
  <si>
    <t>T7, 09/06/2018</t>
  </si>
  <si>
    <t>09 23 25 39 52 53 38</t>
  </si>
  <si>
    <t>T3, 12/06/2018</t>
  </si>
  <si>
    <t>04 13 23 27 29 35 14</t>
  </si>
  <si>
    <t>T5, 14/06/2018</t>
  </si>
  <si>
    <t>03 15 32 45 48 54 55</t>
  </si>
  <si>
    <t>T7, 16/06/2018</t>
  </si>
  <si>
    <t>14 15 21 30 44 47 48</t>
  </si>
  <si>
    <t>T3, 19/06/2018</t>
  </si>
  <si>
    <t>16 17 31 37 41 52 34</t>
  </si>
  <si>
    <t>T5, 21/06/2018</t>
  </si>
  <si>
    <t>02 08 19 23 25 33 32</t>
  </si>
  <si>
    <t>T7, 23/06/2018</t>
  </si>
  <si>
    <t>06 08 13 23 46 55 01</t>
  </si>
  <si>
    <t>T3, 26/06/2018</t>
  </si>
  <si>
    <t>17 18 21 39 40 43 03</t>
  </si>
  <si>
    <t>T5, 28/06/2018</t>
  </si>
  <si>
    <t>11 31 33 43 48 51 23</t>
  </si>
  <si>
    <t>T7, 30/06/2018</t>
  </si>
  <si>
    <t>03 12 23 24 30 33 01</t>
  </si>
  <si>
    <t>T3, 03/07/2018</t>
  </si>
  <si>
    <t>30 32 34 47 48 49 50</t>
  </si>
  <si>
    <t>T5, 05/07/2018</t>
  </si>
  <si>
    <t>04 15 22 24 43 51 48</t>
  </si>
  <si>
    <t>T7, 07/07/2018</t>
  </si>
  <si>
    <t>02 30 45 48 49 53 41</t>
  </si>
  <si>
    <t>T3, 10/07/2018</t>
  </si>
  <si>
    <t>06 10 16 20 27 29 24</t>
  </si>
  <si>
    <t>T5, 12/07/2018</t>
  </si>
  <si>
    <t>08 15 18 21 24 49 22</t>
  </si>
  <si>
    <t>T7, 14/07/2018</t>
  </si>
  <si>
    <t>04 19 23 34 38 50 01</t>
  </si>
  <si>
    <t>T3, 17/07/2018</t>
  </si>
  <si>
    <t>05 14 22 27 31 40 48</t>
  </si>
  <si>
    <t>T5, 19/07/2018</t>
  </si>
  <si>
    <t>11 13 28 34 44 47 10</t>
  </si>
  <si>
    <t>T7, 21/07/2018</t>
  </si>
  <si>
    <t>07 31 33 37 46 52 28</t>
  </si>
  <si>
    <t>T3, 24/07/2018</t>
  </si>
  <si>
    <t>11 18 34 37 50 53 20</t>
  </si>
  <si>
    <t>T5, 26/07/2018</t>
  </si>
  <si>
    <t>21 24 33 37 40 46 52</t>
  </si>
  <si>
    <t>T7, 28/07/2018</t>
  </si>
  <si>
    <t>11 16 22 25 30 40 09</t>
  </si>
  <si>
    <t>T3, 31/07/2018</t>
  </si>
  <si>
    <t>01 05 27 31 47 50 41</t>
  </si>
  <si>
    <t>T5, 02/08/2018</t>
  </si>
  <si>
    <t>06 11 16 17 41 55 07</t>
  </si>
  <si>
    <t>T7, 04/08/2018</t>
  </si>
  <si>
    <t>11 12 24 32 41 48 03</t>
  </si>
  <si>
    <t>T3, 07/08/2018</t>
  </si>
  <si>
    <t>03 09 15 20 39 49 04</t>
  </si>
  <si>
    <t>T5, 09/08/2018</t>
  </si>
  <si>
    <t>24 29 32 33 49 55 09</t>
  </si>
  <si>
    <t>T7, 11/08/2018</t>
  </si>
  <si>
    <t>16 17 31 33 42 44 14</t>
  </si>
  <si>
    <t>T3, 14/08/2018</t>
  </si>
  <si>
    <t>29 30 36 38 45 52 46</t>
  </si>
  <si>
    <t>T5, 16/08/2018</t>
  </si>
  <si>
    <t>06 10 34 46 48 51 47</t>
  </si>
  <si>
    <t>T7, 18/08/2018</t>
  </si>
  <si>
    <t>07 33 36 39 51 55 11</t>
  </si>
  <si>
    <t>T3, 21/08/2018</t>
  </si>
  <si>
    <t>09 12 14 23 32 46 31</t>
  </si>
  <si>
    <t>T5, 23/08/2018</t>
  </si>
  <si>
    <t>14 18 27 38 39 53 02</t>
  </si>
  <si>
    <t>T7, 25/08/2018</t>
  </si>
  <si>
    <t>10 11 15 32 40 48 27</t>
  </si>
  <si>
    <t>T3, 28/08/2018</t>
  </si>
  <si>
    <t>02 10 15 31 39 48 23</t>
  </si>
  <si>
    <t>T5, 30/08/2018</t>
  </si>
  <si>
    <t>05 22 28 42 49 54 36</t>
  </si>
  <si>
    <t>T7, 01/09/2018</t>
  </si>
  <si>
    <t>02 08 20 21 28 36 05</t>
  </si>
  <si>
    <t>T3, 04/09/2018</t>
  </si>
  <si>
    <t>08 18 20 29 34 37 51</t>
  </si>
  <si>
    <t>T5, 06/09/2018</t>
  </si>
  <si>
    <t>04 11 15 21 24 27 07</t>
  </si>
  <si>
    <t>T7, 08/09/2018</t>
  </si>
  <si>
    <t>09 11 12 24 35 43 15</t>
  </si>
  <si>
    <t>T3, 11/09/2018</t>
  </si>
  <si>
    <t>13 17 28 42 45 49 50</t>
  </si>
  <si>
    <t>T5, 13/09/2018</t>
  </si>
  <si>
    <t>04 06 07 26 40 44 09</t>
  </si>
  <si>
    <t>T7, 15/09/2018</t>
  </si>
  <si>
    <t>02 05 28 30 46 50 49</t>
  </si>
  <si>
    <t>T3, 18/09/2018</t>
  </si>
  <si>
    <t>08 21 32 43 48 53 38</t>
  </si>
  <si>
    <t>T5, 20/09/2018</t>
  </si>
  <si>
    <t>03 32 35 46 47 49 51</t>
  </si>
  <si>
    <t>T7, 22/09/2018</t>
  </si>
  <si>
    <t>01 08 17 28 40 50 21</t>
  </si>
  <si>
    <t>T3, 25/09/2018</t>
  </si>
  <si>
    <t>02 03 06 13 14 17 09</t>
  </si>
  <si>
    <t>T5, 27/09/2018</t>
  </si>
  <si>
    <t>08 12 29 35 51 54 34</t>
  </si>
  <si>
    <t>T7, 29/09/2018</t>
  </si>
  <si>
    <t>03 07 12 32 34 55 38</t>
  </si>
  <si>
    <t>T3, 02/10/2018</t>
  </si>
  <si>
    <t>03 07 28 32 33 37 22</t>
  </si>
  <si>
    <t>T5, 04/10/2018</t>
  </si>
  <si>
    <t>03 09 12 17 34 42 46</t>
  </si>
  <si>
    <t>T7, 06/10/2018</t>
  </si>
  <si>
    <t>05 06 16 42 48 51 03</t>
  </si>
  <si>
    <t>T3, 09/10/2018</t>
  </si>
  <si>
    <t>10 27 46 50 51 55 01</t>
  </si>
  <si>
    <t>T5, 11/10/2018</t>
  </si>
  <si>
    <t>05 16 17 37 46 49 35</t>
  </si>
  <si>
    <t>T7, 13/10/2018</t>
  </si>
  <si>
    <t>12 21 23 44 47 48 43</t>
  </si>
  <si>
    <t>T3, 16/10/2018</t>
  </si>
  <si>
    <t>05 28 29 34 42 46 17</t>
  </si>
  <si>
    <t>T5, 18/10/2018</t>
  </si>
  <si>
    <t>01 11 22 34 42 47 30</t>
  </si>
  <si>
    <t>T7, 20/10/2018</t>
  </si>
  <si>
    <t>02 05 10 17 35 41 21</t>
  </si>
  <si>
    <t>T3, 23/10/2018</t>
  </si>
  <si>
    <t>01 03 06 13 21 30 36</t>
  </si>
  <si>
    <t>T5, 25/10/2018</t>
  </si>
  <si>
    <t>16 23 29 31 45 48 19</t>
  </si>
  <si>
    <t>T7, 27/10/2018</t>
  </si>
  <si>
    <t>08 09 15 21 44 49 16</t>
  </si>
  <si>
    <t>T3, 30/10/2018</t>
  </si>
  <si>
    <t>01 12 22 27 30 39 46</t>
  </si>
  <si>
    <t>T5, 01/11/2018</t>
  </si>
  <si>
    <t>03 11 15 42 44 54 41</t>
  </si>
  <si>
    <t>T7, 03/11/2018</t>
  </si>
  <si>
    <t>14 17 20 23 25 45 34</t>
  </si>
  <si>
    <t>T3, 06/11/2018</t>
  </si>
  <si>
    <t>19 22 23 43 47 53 03</t>
  </si>
  <si>
    <t>T5, 08/11/2018</t>
  </si>
  <si>
    <t>22 28 31 39 52 53 14</t>
  </si>
  <si>
    <t>T7, 10/11/2018</t>
  </si>
  <si>
    <t>03 05 19 22 29 39 15</t>
  </si>
  <si>
    <t>T3, 13/11/2018</t>
  </si>
  <si>
    <t>03 25 26 32 41 47 05</t>
  </si>
  <si>
    <t>T5, 15/11/2018</t>
  </si>
  <si>
    <t>13 16 21 40 49 52 54</t>
  </si>
  <si>
    <t>T7, 17/11/2018</t>
  </si>
  <si>
    <t>12 22 26 29 45 47 15</t>
  </si>
  <si>
    <t>T3, 20/11/2018</t>
  </si>
  <si>
    <t>09 23 33 40 44 49 17</t>
  </si>
  <si>
    <t>T5, 22/11/2018</t>
  </si>
  <si>
    <t>17 22 24 28 37 44 06</t>
  </si>
  <si>
    <t>T7, 24/11/2018</t>
  </si>
  <si>
    <t>03 10 11 25 40 54 17</t>
  </si>
  <si>
    <t>T3, 27/11/2018</t>
  </si>
  <si>
    <t>03 05 23 28 35 44 08</t>
  </si>
  <si>
    <t>T5, 29/11/2018</t>
  </si>
  <si>
    <t>10 23 27 42 51 52 20</t>
  </si>
  <si>
    <t>T7, 01/12/2018</t>
  </si>
  <si>
    <t>03 05 12 20 25 33 41</t>
  </si>
  <si>
    <t>T3, 04/12/2018</t>
  </si>
  <si>
    <t>10 13 16 23 30 49 24</t>
  </si>
  <si>
    <t>T5, 06/12/2018</t>
  </si>
  <si>
    <t>09 13 23 27 39 42 49</t>
  </si>
  <si>
    <t>T7, 08/12/2018</t>
  </si>
  <si>
    <t>03 06 09 31 48 54 53</t>
  </si>
  <si>
    <t>T3, 11/12/2018</t>
  </si>
  <si>
    <t>01 05 11 37 39 44 31</t>
  </si>
  <si>
    <t>T5, 13/12/2018</t>
  </si>
  <si>
    <t>02 11 14 36 49 55 53</t>
  </si>
  <si>
    <t>T7, 15/12/2018</t>
  </si>
  <si>
    <t>14 17 49 52 53 55 12</t>
  </si>
  <si>
    <t>T3, 18/12/2018</t>
  </si>
  <si>
    <t>01 09 15 17 25 26 08</t>
  </si>
  <si>
    <t>T5, 20/12/2018</t>
  </si>
  <si>
    <t>08 17 24 33 34 44 55</t>
  </si>
  <si>
    <t>T7, 22/12/2018</t>
  </si>
  <si>
    <t>03 08 16 35 39 52 29</t>
  </si>
  <si>
    <t>T3, 25/12/2018</t>
  </si>
  <si>
    <t>03 09 17 21 23 51 15</t>
  </si>
  <si>
    <t>T5, 27/12/2018</t>
  </si>
  <si>
    <t>05 20 33 42 43 50 40</t>
  </si>
  <si>
    <t>T7, 29/12/2018</t>
  </si>
  <si>
    <t>08 36 42 43 50 52 30</t>
  </si>
  <si>
    <t>T3, 01/01/2019</t>
  </si>
  <si>
    <t>02 19 21 27 37 46 12</t>
  </si>
  <si>
    <t>T5, 03/01/2019</t>
  </si>
  <si>
    <t>23 31 37 45 49 54 18</t>
  </si>
  <si>
    <t>T7, 05/01/2019</t>
  </si>
  <si>
    <t>10 11 38 47 53 55 51</t>
  </si>
  <si>
    <t>T3, 08/01/2019</t>
  </si>
  <si>
    <t>03 05 09 11 45 48 40</t>
  </si>
  <si>
    <t>T5, 10/01/2019</t>
  </si>
  <si>
    <t>12 22 31 35 40 47 08</t>
  </si>
  <si>
    <t>T7, 12/01/2019</t>
  </si>
  <si>
    <t>07 13 14 26 42 54 11</t>
  </si>
  <si>
    <t>T3, 15/01/2019</t>
  </si>
  <si>
    <t>04 06 13 22 29 30 52</t>
  </si>
  <si>
    <t>T5, 17/01/2019</t>
  </si>
  <si>
    <t>13 14 22 34 35 55 54</t>
  </si>
  <si>
    <t>T7, 19/01/2019</t>
  </si>
  <si>
    <t>13 29 42 46 51 53 36</t>
  </si>
  <si>
    <t>T3, 22/01/2019</t>
  </si>
  <si>
    <t>01 14 22 40 52 55 21</t>
  </si>
  <si>
    <t>T5, 24/01/2019</t>
  </si>
  <si>
    <t>31 35 38 44 49 55 24</t>
  </si>
  <si>
    <t>T7, 26/01/2019</t>
  </si>
  <si>
    <t>20 27 33 43 53 54 48</t>
  </si>
  <si>
    <t>T3, 29/01/2019</t>
  </si>
  <si>
    <t>15 20 26 41 45 55 10</t>
  </si>
  <si>
    <t>T5, 31/01/2019</t>
  </si>
  <si>
    <t>10 19 20 28 34 44 29</t>
  </si>
  <si>
    <t>T7, 02/02/2019</t>
  </si>
  <si>
    <t>11 23 27 35 36 46 37</t>
  </si>
  <si>
    <t>T5, 07/02/2019</t>
  </si>
  <si>
    <t>20 27 28 32 47 50 41</t>
  </si>
  <si>
    <t>T7, 09/02/2019</t>
  </si>
  <si>
    <t>02 14 15 44 46 50 18</t>
  </si>
  <si>
    <t>T3, 12/02/2019</t>
  </si>
  <si>
    <t>01 12 17 34 48 49 47</t>
  </si>
  <si>
    <t>T5, 14/02/2019</t>
  </si>
  <si>
    <t>08 15 26 41 43 53 46</t>
  </si>
  <si>
    <t>T7, 16/02/2019</t>
  </si>
  <si>
    <t>05 08 14 28 37 40 41</t>
  </si>
  <si>
    <t>T3, 19/02/2019</t>
  </si>
  <si>
    <t>12 18 22 29 32 52 51</t>
  </si>
  <si>
    <t>T5, 21/02/2019</t>
  </si>
  <si>
    <t>03 10 11 15 29 34 50</t>
  </si>
  <si>
    <t>T7, 23/02/2019</t>
  </si>
  <si>
    <t>16 19 30 39 43 52 21</t>
  </si>
  <si>
    <t>T3, 26/02/2019</t>
  </si>
  <si>
    <t>08 09 16 34 42 43 45</t>
  </si>
  <si>
    <t>T5, 28/02/2019</t>
  </si>
  <si>
    <t>04 15 19 34 40 42 49</t>
  </si>
  <si>
    <t>T7, 02/03/2019</t>
  </si>
  <si>
    <t>01 02 03 20 46 48 31</t>
  </si>
  <si>
    <t>T3, 05/03/2019</t>
  </si>
  <si>
    <t>01 15 23 51 53 55 26</t>
  </si>
  <si>
    <t>T5, 07/03/2019</t>
  </si>
  <si>
    <t>02 14 20 33 41 47 27</t>
  </si>
  <si>
    <t>T7, 09/03/2019</t>
  </si>
  <si>
    <t>18 24 31 34 35 44 52</t>
  </si>
  <si>
    <t>T3, 12/03/2019</t>
  </si>
  <si>
    <t>09 16 26 34 44 49 19</t>
  </si>
  <si>
    <t>T5, 14/03/2019</t>
  </si>
  <si>
    <t>18 21 25 35 44 53 04</t>
  </si>
  <si>
    <t>T7, 16/03/2019</t>
  </si>
  <si>
    <t>10 18 22 24 35 40 53</t>
  </si>
  <si>
    <t>T3, 19/03/2019</t>
  </si>
  <si>
    <t>08 28 32 35 40 45 34</t>
  </si>
  <si>
    <t>T5, 21/03/2019</t>
  </si>
  <si>
    <t>07 18 32 42 46 53 28</t>
  </si>
  <si>
    <t>T7, 23/03/2019</t>
  </si>
  <si>
    <t>03 09 30 41 46 52 22</t>
  </si>
  <si>
    <t>T3, 26/03/2019</t>
  </si>
  <si>
    <t>15 19 28 40 44 48 14</t>
  </si>
  <si>
    <t>T5, 28/03/2019</t>
  </si>
  <si>
    <t>03 23 37 43 44 49 27</t>
  </si>
  <si>
    <t>T7, 30/03/2019</t>
  </si>
  <si>
    <t>03 15 18 35 50 54 32</t>
  </si>
  <si>
    <t>T3, 02/04/2019</t>
  </si>
  <si>
    <t>01 04 09 20 22 26 48</t>
  </si>
  <si>
    <t>T5, 04/04/2019</t>
  </si>
  <si>
    <t>16 26 29 38 47 51 13</t>
  </si>
  <si>
    <t>T7, 06/04/2019</t>
  </si>
  <si>
    <t>01 20 30 41 46 50 48</t>
  </si>
  <si>
    <t>T3, 09/04/2019</t>
  </si>
  <si>
    <t>10 14 19 36 48 49 03</t>
  </si>
  <si>
    <t>T5, 11/04/2019</t>
  </si>
  <si>
    <t>01 08 31 32 37 55 53</t>
  </si>
  <si>
    <t>T7, 13/04/2019</t>
  </si>
  <si>
    <t>09 13 20 21 36 43 32</t>
  </si>
  <si>
    <t>T3, 16/04/2019</t>
  </si>
  <si>
    <t>16 29 32 33 52 53 05</t>
  </si>
  <si>
    <t>T5, 18/04/2019</t>
  </si>
  <si>
    <t>07 08 15 24 26 48 10</t>
  </si>
  <si>
    <t>T7, 20/04/2019</t>
  </si>
  <si>
    <t>08 10 12 24 40 44 51</t>
  </si>
  <si>
    <t>T3, 23/04/2019</t>
  </si>
  <si>
    <t>20 21 22 31 43 45 30</t>
  </si>
  <si>
    <t>T5, 25/04/2019</t>
  </si>
  <si>
    <t>16 22 23 33 36 38 45</t>
  </si>
  <si>
    <t>T7, 27/04/2019</t>
  </si>
  <si>
    <t>01 11 22 26 33 51 04</t>
  </si>
  <si>
    <t>T3, 30/04/2019</t>
  </si>
  <si>
    <t>03 05 13 40 41 45 52</t>
  </si>
  <si>
    <t>T5, 02/05/2019</t>
  </si>
  <si>
    <t>02 10 16 17 33 36 20</t>
  </si>
  <si>
    <t>T7, 04/05/2019</t>
  </si>
  <si>
    <t>02 03 26 53 17 01 50</t>
  </si>
  <si>
    <t>T3, 07/05/2019</t>
  </si>
  <si>
    <t>03 06 07 08 09 49 24</t>
  </si>
  <si>
    <t>T5, 09/05/2019</t>
  </si>
  <si>
    <t>19 21 48 49 54 55 27</t>
  </si>
  <si>
    <t>T7, 11/05/2019</t>
  </si>
  <si>
    <t>06 11 20 22 26 28 36</t>
  </si>
  <si>
    <t>T3, 14/05/2019</t>
  </si>
  <si>
    <t>06 11 15 21 30 40 10</t>
  </si>
  <si>
    <t>T5, 16/05/2019</t>
  </si>
  <si>
    <t>08 28 30 33 40 43 24</t>
  </si>
  <si>
    <t>T7, 18/05/2019</t>
  </si>
  <si>
    <t>06 10 13 18 29 38 53</t>
  </si>
  <si>
    <t>T3, 21/05/2019</t>
  </si>
  <si>
    <t>11 12 29 31 37 53 41</t>
  </si>
  <si>
    <t>T5, 23/05/2019</t>
  </si>
  <si>
    <t>13 21 33 42 53 55 44</t>
  </si>
  <si>
    <t>T7, 25/05/2019</t>
  </si>
  <si>
    <t>04 12 35 44 50 55 19</t>
  </si>
  <si>
    <t>T3, 28/05/2019</t>
  </si>
  <si>
    <t>15 22 31 32 33 37 51</t>
  </si>
  <si>
    <t>T5, 30/05/2019</t>
  </si>
  <si>
    <t>17 31 33 34 37 40 35</t>
  </si>
  <si>
    <t>T7, 01/06/2019</t>
  </si>
  <si>
    <t>10 24 31 41 42 47 20</t>
  </si>
  <si>
    <t>T3, 04/06/2019</t>
  </si>
  <si>
    <t>18 20 24 26 33 41 55</t>
  </si>
  <si>
    <t>T5, 06/06/2019</t>
  </si>
  <si>
    <t>10 13 30 36 51 54 16</t>
  </si>
  <si>
    <t>T7, 08/06/2019</t>
  </si>
  <si>
    <t>02 08 10 23 27 35 47</t>
  </si>
  <si>
    <t>T3, 11/06/2019</t>
  </si>
  <si>
    <t>02 05 13 20 30 49 35</t>
  </si>
  <si>
    <t>T5, 13/06/2019</t>
  </si>
  <si>
    <t>06 09 15 22 29 53 25</t>
  </si>
  <si>
    <t>T7, 15/06/2019</t>
  </si>
  <si>
    <t>13 23 40 45 52 55 09</t>
  </si>
  <si>
    <t>T3, 18/06/2019</t>
  </si>
  <si>
    <t>24 31 45 46 47 54 04</t>
  </si>
  <si>
    <t>T5, 20/06/2019</t>
  </si>
  <si>
    <t>09 15 23 41 49 51 52</t>
  </si>
  <si>
    <t>T7, 22/06/2019</t>
  </si>
  <si>
    <t>01 09 23 28 42 54 49</t>
  </si>
  <si>
    <t>T3, 25/06/2019</t>
  </si>
  <si>
    <t>03 14 34 35 40 49 23</t>
  </si>
  <si>
    <t>T5, 27/06/2019</t>
  </si>
  <si>
    <t>09 29 32 44 49 53 05</t>
  </si>
  <si>
    <t>T7, 29/06/2019</t>
  </si>
  <si>
    <t>06 10 19 31 34 43 37</t>
  </si>
  <si>
    <t>T3, 02/07/2019</t>
  </si>
  <si>
    <t>02 09 33 45 52 54 01</t>
  </si>
  <si>
    <t>T5, 04/07/2019</t>
  </si>
  <si>
    <t>04 05 14 46 52 54 03</t>
  </si>
  <si>
    <t>T7, 06/07/2019</t>
  </si>
  <si>
    <t>05 29 36 39 46 53 48</t>
  </si>
  <si>
    <t>T3, 09/07/2019</t>
  </si>
  <si>
    <t>04 17 25 40 42 51 02</t>
  </si>
  <si>
    <t>T5, 11/07/2019</t>
  </si>
  <si>
    <t>06 09 15 26 35 38 34</t>
  </si>
  <si>
    <t>T7, 13/07/2019</t>
  </si>
  <si>
    <t>05 23 29 45 50 52 01</t>
  </si>
  <si>
    <t>T3, 16/07/2019</t>
  </si>
  <si>
    <t>04 12 19 31 33 40 51</t>
  </si>
  <si>
    <t>T5, 18/07/2019</t>
  </si>
  <si>
    <t>04 24 29 31 39 41 38</t>
  </si>
  <si>
    <t>T7, 20/07/2019</t>
  </si>
  <si>
    <t>15 18 25 32 42 52 10</t>
  </si>
  <si>
    <t>T3, 23/07/2019</t>
  </si>
  <si>
    <t>05 10 21 32 39 52 41</t>
  </si>
  <si>
    <t>T5, 25/07/2019</t>
  </si>
  <si>
    <t>03 31 34 41 52 53 16</t>
  </si>
  <si>
    <t>T7, 27/07/2019</t>
  </si>
  <si>
    <t>02 03 25 33 44 50 17</t>
  </si>
  <si>
    <t>T3, 30/07/2019</t>
  </si>
  <si>
    <t>03 08 12 21 32 51 07</t>
  </si>
  <si>
    <t>T5, 01/08/2019</t>
  </si>
  <si>
    <t>01 18 39 45 48 49 26</t>
  </si>
  <si>
    <t>T7, 03/08/2019</t>
  </si>
  <si>
    <t>13 24 25 26 27 30 04</t>
  </si>
  <si>
    <t>T3, 06/08/2019</t>
  </si>
  <si>
    <t>09 11 19 20 26 42 17</t>
  </si>
  <si>
    <t>T5, 08/08/2019</t>
  </si>
  <si>
    <t>01 06 17 18 21 41 22</t>
  </si>
  <si>
    <t>T7, 10/08/2019</t>
  </si>
  <si>
    <t>07 17 36 42 43 50 44</t>
  </si>
  <si>
    <t>T3, 13/08/2019</t>
  </si>
  <si>
    <t>04 08 16 27 32 40 23</t>
  </si>
  <si>
    <t>T5, 15/08/2019</t>
  </si>
  <si>
    <t>19 25 31 32 39 47 08</t>
  </si>
  <si>
    <t>T7, 17/08/2019</t>
  </si>
  <si>
    <t>09 11 24 26 38 53 41</t>
  </si>
  <si>
    <t>T3, 20/08/2019</t>
  </si>
  <si>
    <t>10 30 38 48 54 55 46</t>
  </si>
  <si>
    <t>T5, 22/08/2019</t>
  </si>
  <si>
    <t>04 07 16 17 30 39 27</t>
  </si>
  <si>
    <t>T7, 24/08/2019</t>
  </si>
  <si>
    <t>19 20 34 40 49 51 01</t>
  </si>
  <si>
    <t>T3, 27/08/2019</t>
  </si>
  <si>
    <t>16 22 29 33 46 47 55</t>
  </si>
  <si>
    <t>T5, 29/08/2019</t>
  </si>
  <si>
    <t>10 11 12 23 27 48 09</t>
  </si>
  <si>
    <t>T7, 31/08/2019</t>
  </si>
  <si>
    <t>13 20 23 32 51 52 42</t>
  </si>
  <si>
    <t>T3, 03/09/2019</t>
  </si>
  <si>
    <t>13 14 29 35 41 55 25</t>
  </si>
  <si>
    <t>T5, 05/09/2019</t>
  </si>
  <si>
    <t>20 24 27 30 33 45 21</t>
  </si>
  <si>
    <t>T7, 07/09/2019</t>
  </si>
  <si>
    <t>07 17 31 35 38 46 16</t>
  </si>
  <si>
    <t>T3, 10/09/2019</t>
  </si>
  <si>
    <t>06 09 19 39 50 54 37</t>
  </si>
  <si>
    <t>T5, 12/09/2019</t>
  </si>
  <si>
    <t>18 29 32 33 45 49 40</t>
  </si>
  <si>
    <t>T7, 14/09/2019</t>
  </si>
  <si>
    <t>10 36 42 44 45 54 14</t>
  </si>
  <si>
    <t>T3, 17/09/2019</t>
  </si>
  <si>
    <t>03 14 26 38 43 47 10</t>
  </si>
  <si>
    <t>T5, 19/09/2019</t>
  </si>
  <si>
    <t>02 08 22 34 39 41 13</t>
  </si>
  <si>
    <t>T7, 21/09/2019</t>
  </si>
  <si>
    <t>02 05 23 30 42 45 34</t>
  </si>
  <si>
    <t>T3, 24/09/2019</t>
  </si>
  <si>
    <t>12 33 39 40 48 53 35</t>
  </si>
  <si>
    <t>T5, 26/09/2019</t>
  </si>
  <si>
    <t>07 12 38 43 51 55 15</t>
  </si>
  <si>
    <t>T7, 28/09/2019</t>
  </si>
  <si>
    <t>04 08 21 23 40 43 44</t>
  </si>
  <si>
    <t>T3, 01/10/2019</t>
  </si>
  <si>
    <t>05 22 38 41 47 49 29</t>
  </si>
  <si>
    <t>T5, 03/10/2019</t>
  </si>
  <si>
    <t>04 07 08 26 37 44 29</t>
  </si>
  <si>
    <t>T7, 05/10/2019</t>
  </si>
  <si>
    <t>10 29 30 31 37 51 50</t>
  </si>
  <si>
    <t>T3, 08/10/2019</t>
  </si>
  <si>
    <t>08 36 39 43 48 50 40</t>
  </si>
  <si>
    <t>T5, 10/10/2019</t>
  </si>
  <si>
    <t>04 17 42 51 53 55 29</t>
  </si>
  <si>
    <t>T7, 12/10/2019</t>
  </si>
  <si>
    <t>21 39 48 51 53 55 05</t>
  </si>
  <si>
    <t>T3, 15/10/2019</t>
  </si>
  <si>
    <t>09 12 29 46 48 53 03</t>
  </si>
  <si>
    <t>T5, 17/10/2019</t>
  </si>
  <si>
    <t>05 11 14 34 51 53 16</t>
  </si>
  <si>
    <t>T7, 19/10/2019</t>
  </si>
  <si>
    <t>01 10 21 26 42 43 25</t>
  </si>
  <si>
    <t>T3, 22/10/2019</t>
  </si>
  <si>
    <t>02 16 26 27 36 40 31</t>
  </si>
  <si>
    <t>T5, 24/10/2019</t>
  </si>
  <si>
    <t>09 14 23 41 45 50 13</t>
  </si>
  <si>
    <t>T7, 26/10/2019</t>
  </si>
  <si>
    <t>18 20 22 50 51 53 35</t>
  </si>
  <si>
    <t>T3, 29/10/2019</t>
  </si>
  <si>
    <t>12 15 16 31 43 55 11</t>
  </si>
  <si>
    <t>T5, 31/10/2019</t>
  </si>
  <si>
    <t>18 19 22 37 47 48 46</t>
  </si>
  <si>
    <t>T7, 02/11/2019</t>
  </si>
  <si>
    <t>02 15 34 35 48 50 32</t>
  </si>
  <si>
    <t>T3, 05/11/2019</t>
  </si>
  <si>
    <t>03 06 16 17 44 50 28</t>
  </si>
  <si>
    <t>T5, 07/11/2019</t>
  </si>
  <si>
    <t>01 12 19 37 44 52 18</t>
  </si>
  <si>
    <t>T7, 09/11/2019</t>
  </si>
  <si>
    <t>01 03 06 25 29 41 12</t>
  </si>
  <si>
    <t>T3, 12/11/2019</t>
  </si>
  <si>
    <t>10 17 24 27 36 39 33</t>
  </si>
  <si>
    <t>T5, 14/11/2019</t>
  </si>
  <si>
    <t>09 12 16 36 41 55 35</t>
  </si>
  <si>
    <t>T7, 16/11/2019</t>
  </si>
  <si>
    <t>06 08 18 22 49 52 10</t>
  </si>
  <si>
    <t>T3, 19/11/2019</t>
  </si>
  <si>
    <t>19 21 33 35 38 40 04</t>
  </si>
  <si>
    <t>T5, 21/11/2019</t>
  </si>
  <si>
    <t>21 24 35 38 42 47 34</t>
  </si>
  <si>
    <t>T7, 23/11/2019</t>
  </si>
  <si>
    <t>07 29 30 45 50 55 15</t>
  </si>
  <si>
    <t>T3, 26/11/2019</t>
  </si>
  <si>
    <t>07 19 38 41 42 47 04</t>
  </si>
  <si>
    <t>T5, 28/11/2019</t>
  </si>
  <si>
    <t>01 18 26 28 53 55 14</t>
  </si>
  <si>
    <t>T7, 30/11/2019</t>
  </si>
  <si>
    <t>08 09 10 32 44 50 15</t>
  </si>
  <si>
    <t>T3, 03/12/2019</t>
  </si>
  <si>
    <t>21 29 36 41 50 52 42</t>
  </si>
  <si>
    <t>T5, 05/12/2019</t>
  </si>
  <si>
    <t>09 11 16 27 35 40 51</t>
  </si>
  <si>
    <t>T7, 07/12/2019</t>
  </si>
  <si>
    <t>07 18 38 42 47 51 08</t>
  </si>
  <si>
    <t>T3, 10/12/2019</t>
  </si>
  <si>
    <t>05 20 33 42 43 49 26</t>
  </si>
  <si>
    <t>T5, 12/12/2019</t>
  </si>
  <si>
    <t>01 09 15 42 49 50 48</t>
  </si>
  <si>
    <t>T7, 14/12/2019</t>
  </si>
  <si>
    <t>03 30 33 34 40 47 26</t>
  </si>
  <si>
    <t>T3, 17/12/2019</t>
  </si>
  <si>
    <t>04 05 14 19 22 37 43</t>
  </si>
  <si>
    <t>T5, 19/12/2019</t>
  </si>
  <si>
    <t>18 22 25 28 29 34 50</t>
  </si>
  <si>
    <t>T7, 21/12/2019</t>
  </si>
  <si>
    <t>05 08 20 34 37 42 51</t>
  </si>
  <si>
    <t>T3, 24/12/2019</t>
  </si>
  <si>
    <t>03 16 30 34 50 55 48</t>
  </si>
  <si>
    <t>T5, 26/12/2019</t>
  </si>
  <si>
    <t>05 06 12 18 23 54 26</t>
  </si>
  <si>
    <t>T7, 28/12/2019</t>
  </si>
  <si>
    <t>10 17 26 28 29 32 21</t>
  </si>
  <si>
    <t>T3, 31/12/2019</t>
  </si>
  <si>
    <t>02 22 26 28 44 55 27</t>
  </si>
  <si>
    <t>T5, 02/01/2020</t>
  </si>
  <si>
    <t>12 14 26 29 33 40 50</t>
  </si>
  <si>
    <t>T7, 04/01/2020</t>
  </si>
  <si>
    <t>04 14 26 42 44 55 48</t>
  </si>
  <si>
    <t>T3, 07/01/2020</t>
  </si>
  <si>
    <t>08 11 16 22 42 54 13</t>
  </si>
  <si>
    <t>T5, 09/01/2020</t>
  </si>
  <si>
    <t>17 20 21 29 52 54 51</t>
  </si>
  <si>
    <t>T7, 11/01/2020</t>
  </si>
  <si>
    <t>08 11 17 19 25 47 53</t>
  </si>
  <si>
    <t>T3, 14/01/2020</t>
  </si>
  <si>
    <t>03 04 17 39 50 51 53</t>
  </si>
  <si>
    <t>T5, 16/01/2020</t>
  </si>
  <si>
    <t>10 11 26 33 44 46 55</t>
  </si>
  <si>
    <t>T7, 18/01/2020</t>
  </si>
  <si>
    <t>13 18 19 23 32 43 11</t>
  </si>
  <si>
    <t>T3, 21/01/2020</t>
  </si>
  <si>
    <t>14 31 45 47 52 54 13</t>
  </si>
  <si>
    <t>T5, 23/01/2020</t>
  </si>
  <si>
    <t>09 15 18 25 31 49 46</t>
  </si>
  <si>
    <t>T3, 28/01/2020</t>
  </si>
  <si>
    <t>01 20 24 33 40 55 46</t>
  </si>
  <si>
    <t>T5, 30/01/2020</t>
  </si>
  <si>
    <t>12 18 28 30 47 50 41</t>
  </si>
  <si>
    <t>T7, 01/02/2020</t>
  </si>
  <si>
    <t>02 03 11 23 35 54 06</t>
  </si>
  <si>
    <t>T3, 04/02/2020</t>
  </si>
  <si>
    <t>06 10 20 47 52 55 46</t>
  </si>
  <si>
    <t>T5, 06/02/2020</t>
  </si>
  <si>
    <t>13 18 34 36 45 49 37</t>
  </si>
  <si>
    <t>T7, 08/02/2020</t>
  </si>
  <si>
    <t>09 12 19 25 41 54 38</t>
  </si>
  <si>
    <t>T3, 11/02/2020</t>
  </si>
  <si>
    <t>04 14 18 21 32 53 02</t>
  </si>
  <si>
    <t>T5, 13/02/2020</t>
  </si>
  <si>
    <t>25 28 32 34 35 39 07</t>
  </si>
  <si>
    <t>T7, 15/02/2020</t>
  </si>
  <si>
    <t>26 36 37 38 42 49 46</t>
  </si>
  <si>
    <t>T3, 18/02/2020</t>
  </si>
  <si>
    <t>27 32 36 37 47 48 50</t>
  </si>
  <si>
    <t>T5, 20/02/2020</t>
  </si>
  <si>
    <t>01 03 20 33 36 51 49</t>
  </si>
  <si>
    <t>T7, 22/02/2020</t>
  </si>
  <si>
    <t>07 24 32 49 51 54 44</t>
  </si>
  <si>
    <t>T3, 25/02/2020</t>
  </si>
  <si>
    <t>05 13 21 36 39 48 06</t>
  </si>
  <si>
    <t>T5, 27/02/2020</t>
  </si>
  <si>
    <t>03 11 21 29 47 55 50</t>
  </si>
  <si>
    <t>T7, 29/02/2020</t>
  </si>
  <si>
    <t>09 17 23 26 51 54 32</t>
  </si>
  <si>
    <t>T3, 03/03/2020</t>
  </si>
  <si>
    <t>14 15 31 40 43 49 12</t>
  </si>
  <si>
    <t>T5, 05/03/2020</t>
  </si>
  <si>
    <t>08 09 34 40 41 54 13</t>
  </si>
  <si>
    <t>T7, 07/03/2020</t>
  </si>
  <si>
    <t>05 11 21 30 40 48 20</t>
  </si>
  <si>
    <t>T3, 10/03/2020</t>
  </si>
  <si>
    <t>23 25 30 36 45 52 53</t>
  </si>
  <si>
    <t>T5, 12/03/2020</t>
  </si>
  <si>
    <t>02 14 19 24 27 34 48</t>
  </si>
  <si>
    <t>T7, 14/03/2020</t>
  </si>
  <si>
    <t>12 20 25 38 39 40 37</t>
  </si>
  <si>
    <t>T3, 17/03/2020</t>
  </si>
  <si>
    <t>01 14 18 43 49 50 08</t>
  </si>
  <si>
    <t>T5, 19/03/2020</t>
  </si>
  <si>
    <t>03 35 41 42 43 49 31</t>
  </si>
  <si>
    <t>T7, 21/03/2020</t>
  </si>
  <si>
    <t>10 12 14 17 29 53 25</t>
  </si>
  <si>
    <t>T3, 24/03/2020</t>
  </si>
  <si>
    <t>03 09 20 21 33 52 50</t>
  </si>
  <si>
    <t>T5, 26/03/2020</t>
  </si>
  <si>
    <t>07 08 11 31 35 36 45</t>
  </si>
  <si>
    <t>T7, 28/03/2020</t>
  </si>
  <si>
    <t>01 10 11 13 27 55 19</t>
  </si>
  <si>
    <t>T3, 31/03/2020</t>
  </si>
  <si>
    <t>12 19 40 41 43 53 23</t>
  </si>
  <si>
    <t>T7, 25/04/2020</t>
  </si>
  <si>
    <t>04 18 24 30 53 55 13</t>
  </si>
  <si>
    <t>T3, 28/04/2020</t>
  </si>
  <si>
    <t>04 06 10 16 30 46 34</t>
  </si>
  <si>
    <t>T5, 30/04/2020</t>
  </si>
  <si>
    <t>12 31 32 33 39 41 14</t>
  </si>
  <si>
    <t>T7, 02/05/2020</t>
  </si>
  <si>
    <t>02 06 09 16 43 53 19</t>
  </si>
  <si>
    <t>T3, 05/05/2020</t>
  </si>
  <si>
    <t>01 04 13 15 18 20 22</t>
  </si>
  <si>
    <t>T5, 07/05/2020</t>
  </si>
  <si>
    <t>09 19 28 30 32 54 22</t>
  </si>
  <si>
    <t>T7, 09/05/2020</t>
  </si>
  <si>
    <t>18 19 30 39 45 46 11</t>
  </si>
  <si>
    <t>T3, 12/05/2020</t>
  </si>
  <si>
    <t>01 08 25 34 38 44 28</t>
  </si>
  <si>
    <t>T5, 14/05/2020</t>
  </si>
  <si>
    <t>07 23 29 47 51 55 12</t>
  </si>
  <si>
    <t>T7, 16/05/2020</t>
  </si>
  <si>
    <t>19 35 38 49 52 55 01</t>
  </si>
  <si>
    <t>T3, 19/05/2020</t>
  </si>
  <si>
    <t>05 15 16 19 49 55 03</t>
  </si>
  <si>
    <t>T5, 21/05/2020</t>
  </si>
  <si>
    <t>02 15 22 25 30 46 10</t>
  </si>
  <si>
    <t>T7, 23/05/2020</t>
  </si>
  <si>
    <t>04 13 27 47 50 55 31</t>
  </si>
  <si>
    <t>T3, 26/05/2020</t>
  </si>
  <si>
    <t>11 12 23 24 34 47 43</t>
  </si>
  <si>
    <t>T5, 28/05/2020</t>
  </si>
  <si>
    <t>01 04 08 21 44 49 52</t>
  </si>
  <si>
    <t>T7, 30/05/2020</t>
  </si>
  <si>
    <t>12 13 41 42 48 53 20</t>
  </si>
  <si>
    <t>T3, 02/06/2020</t>
  </si>
  <si>
    <t>04 19 31 42 48 55 22</t>
  </si>
  <si>
    <t>T5, 04/06/2020</t>
  </si>
  <si>
    <t>06 12 16 34 39 54 19</t>
  </si>
  <si>
    <t>T7, 06/06/2020</t>
  </si>
  <si>
    <t>08 12 24 32 35 51 21</t>
  </si>
  <si>
    <t>T3, 09/06/2020</t>
  </si>
  <si>
    <t>01 03 08 22 42 48 44</t>
  </si>
  <si>
    <t>T5, 11/06/2020</t>
  </si>
  <si>
    <t>03 21 25 32 35 52 34</t>
  </si>
  <si>
    <t>T7, 13/06/2020</t>
  </si>
  <si>
    <t>07 09 11 30 43 53 10</t>
  </si>
  <si>
    <t>T3, 16/06/2020</t>
  </si>
  <si>
    <t>02 15 16 23 33 54 45</t>
  </si>
  <si>
    <t>T5, 18/06/2020</t>
  </si>
  <si>
    <t>05 18 27 45 50 54 09</t>
  </si>
  <si>
    <t>T7, 20/06/2020</t>
  </si>
  <si>
    <t>05 09 33 43 44 50 46</t>
  </si>
  <si>
    <t>T3, 23/06/2020</t>
  </si>
  <si>
    <t>02 18 28 46 52 54 19</t>
  </si>
  <si>
    <t>T5, 25/06/2020</t>
  </si>
  <si>
    <t>09 10 12 19 27 40 55</t>
  </si>
  <si>
    <t>T7, 27/06/2020</t>
  </si>
  <si>
    <t>02 06 38 47 50 53 14</t>
  </si>
  <si>
    <t>T3, 30/06/2020</t>
  </si>
  <si>
    <t>05 11 18 19 20 21 52</t>
  </si>
  <si>
    <t>T5, 02/07/2020</t>
  </si>
  <si>
    <t>04 10 20 38 48 53 05</t>
  </si>
  <si>
    <t>T7, 04/07/2020</t>
  </si>
  <si>
    <t>03 09 10 18 29 45 36</t>
  </si>
  <si>
    <t>T3, 07/07/2020</t>
  </si>
  <si>
    <t>07 24 32 35 48 50 01</t>
  </si>
  <si>
    <t>T5, 09/07/2020</t>
  </si>
  <si>
    <t>03 10 11 17 26 54 21</t>
  </si>
  <si>
    <t>T7, 11/07/2020</t>
  </si>
  <si>
    <t>03 04 06 14 20 38 35</t>
  </si>
  <si>
    <t>T3, 14/07/2020</t>
  </si>
  <si>
    <t>05 22 32 34 43 51 12</t>
  </si>
  <si>
    <t>T5, 16/07/2020</t>
  </si>
  <si>
    <t>02 05 11 20 24 32 06</t>
  </si>
  <si>
    <t>T7, 18/07/2020</t>
  </si>
  <si>
    <t>03 13 22 28 30 53 16</t>
  </si>
  <si>
    <t>T3, 21/07/2020</t>
  </si>
  <si>
    <t>06 14 31 37 38 44 04</t>
  </si>
  <si>
    <t>T5, 23/07/2020</t>
  </si>
  <si>
    <t>04 12 31 47 49 52 02</t>
  </si>
  <si>
    <t>T7, 25/07/2020</t>
  </si>
  <si>
    <t>02 19 21 34 54 55 24</t>
  </si>
  <si>
    <t>T3, 28/07/2020</t>
  </si>
  <si>
    <t>03 11 20 34 44 54 16</t>
  </si>
  <si>
    <t>T5, 30/07/2020</t>
  </si>
  <si>
    <t>06 07 16 26 29 54 04</t>
  </si>
  <si>
    <t>T7, 01/08/2020</t>
  </si>
  <si>
    <t>13 18 29 30 40 47 04</t>
  </si>
  <si>
    <t>T3, 04/08/2020</t>
  </si>
  <si>
    <t>10 15 20 21 32 51 08</t>
  </si>
  <si>
    <t>T5, 06/08/2020</t>
  </si>
  <si>
    <t>02 05 21 24 26 27 11</t>
  </si>
  <si>
    <t>T7, 08/08/2020</t>
  </si>
  <si>
    <t>03 12 24 26 36 43 08</t>
  </si>
  <si>
    <t>T3, 11/08/2020</t>
  </si>
  <si>
    <t>02 12 33 39 52 53 44</t>
  </si>
  <si>
    <t>T5, 13/08/2020</t>
  </si>
  <si>
    <t>03 25 28 44 49 54 19</t>
  </si>
  <si>
    <t>T7, 15/08/2020</t>
  </si>
  <si>
    <t>01 11 29 30 41 51 04</t>
  </si>
  <si>
    <t>T3, 18/08/2020</t>
  </si>
  <si>
    <t>22 41 44 46 51 52 02</t>
  </si>
  <si>
    <t>T5, 20/08/2020</t>
  </si>
  <si>
    <t>14 18 28 32 33 36 41</t>
  </si>
  <si>
    <t>T7, 22/08/2020</t>
  </si>
  <si>
    <t>01 20 24 26 35 51 12</t>
  </si>
  <si>
    <t>T3, 25/08/2020</t>
  </si>
  <si>
    <t>21 35 36 38 44 47 14</t>
  </si>
  <si>
    <t>T7, 29/08/2020</t>
  </si>
  <si>
    <t>01 04 14 28 35 53 02</t>
  </si>
  <si>
    <t>T3, 01/09/2020</t>
  </si>
  <si>
    <t>11 22 24 47 49 53 03</t>
  </si>
  <si>
    <t>T5, 03/09/2020</t>
  </si>
  <si>
    <t>07 09 18 22 35 54 50</t>
  </si>
  <si>
    <t>T7, 05/09/2020</t>
  </si>
  <si>
    <t>09 12 19 22 31 46 20</t>
  </si>
  <si>
    <t>T3, 08/09/2020</t>
  </si>
  <si>
    <t>22 47 48 52 53 55 14</t>
  </si>
  <si>
    <t>T5, 10/09/2020</t>
  </si>
  <si>
    <t>18 25 27 37 45 50 52</t>
  </si>
  <si>
    <t>T7, 12/09/2020</t>
  </si>
  <si>
    <t>20 21 24 30 31 44 40</t>
  </si>
  <si>
    <t>T3, 15/09/2020</t>
  </si>
  <si>
    <t>13 14 15 17 26 53 21</t>
  </si>
  <si>
    <t>T5, 17/09/2020</t>
  </si>
  <si>
    <t>01 05 28 43 44 53 49</t>
  </si>
  <si>
    <t>T7, 19/09/2020</t>
  </si>
  <si>
    <t>04 07 08 29 31 41 38</t>
  </si>
  <si>
    <t>T3, 22/09/2020</t>
  </si>
  <si>
    <t>05 08 15 18 36 45 06</t>
  </si>
  <si>
    <t>T5, 24/09/2020</t>
  </si>
  <si>
    <t>12 28 41 42 52 53 50</t>
  </si>
  <si>
    <t>T7, 26/09/2020</t>
  </si>
  <si>
    <t>07 10 13 15 40 48 01</t>
  </si>
  <si>
    <t>T3, 29/09/2020</t>
  </si>
  <si>
    <t>01 06 07 13 30 55 34</t>
  </si>
  <si>
    <t>T5, 01/10/2020</t>
  </si>
  <si>
    <t>03 06 07 19 38 54 50</t>
  </si>
  <si>
    <t>T7, 03/10/2020</t>
  </si>
  <si>
    <t>12 14 22 23 39 44 28</t>
  </si>
  <si>
    <t>T3, 06/10/2020</t>
  </si>
  <si>
    <t>11 14 29 32 33 40 35</t>
  </si>
  <si>
    <t>T5, 08/10/2020</t>
  </si>
  <si>
    <t>10 18 20 21 26 51 52</t>
  </si>
  <si>
    <t>T7, 10/10/2020</t>
  </si>
  <si>
    <t>05 10 47 50 53 54 22</t>
  </si>
  <si>
    <t>T3, 13/10/2020</t>
  </si>
  <si>
    <t>12 19 28 29 52 53 20</t>
  </si>
  <si>
    <t>T5, 15/10/2020</t>
  </si>
  <si>
    <t>08 38 41 47 50 52 45</t>
  </si>
  <si>
    <t>T7, 17/10/2020</t>
  </si>
  <si>
    <t>03 14 25 37 49 54 53</t>
  </si>
  <si>
    <t>T3, 20/10/2020</t>
  </si>
  <si>
    <t>08 33 38 47 49 54 31</t>
  </si>
  <si>
    <t>T5, 22/10/2020</t>
  </si>
  <si>
    <t>02 03 12 21 24 38 14</t>
  </si>
  <si>
    <t>T7, 24/10/2020</t>
  </si>
  <si>
    <t>12 21 22 27 41 50 34</t>
  </si>
  <si>
    <t>T3, 27/10/2020</t>
  </si>
  <si>
    <t>03 31 33 36 38 39 08</t>
  </si>
  <si>
    <t>T5, 29/10/2020</t>
  </si>
  <si>
    <t>09 11 14 16 21 23 54</t>
  </si>
  <si>
    <t>T7, 31/10/2020</t>
  </si>
  <si>
    <t>08 18 19 20 43 54 50</t>
  </si>
  <si>
    <t>T3, 03/11/2020</t>
  </si>
  <si>
    <t>02 22 27 46 48 52 23</t>
  </si>
  <si>
    <t>T5, 05/11/2020</t>
  </si>
  <si>
    <t>01 02 06 18 34 51 52</t>
  </si>
  <si>
    <t>T7, 07/11/2020</t>
  </si>
  <si>
    <t>12 28 30 33 45 52 15</t>
  </si>
  <si>
    <t>T3, 10/11/2020</t>
  </si>
  <si>
    <t>02 05 19 39 48 53 06</t>
  </si>
  <si>
    <t>T5, 12/11/2020</t>
  </si>
  <si>
    <t>04 20 22 25 43 47 12</t>
  </si>
  <si>
    <t>T7, 14/11/2020</t>
  </si>
  <si>
    <t>05 11 15 34 44 48 35</t>
  </si>
  <si>
    <t>T3, 17/11/2020</t>
  </si>
  <si>
    <t>06 17 27 34 36 51 48</t>
  </si>
  <si>
    <t>T5, 19/11/2020</t>
  </si>
  <si>
    <t>12 15 23 28 45 48 43</t>
  </si>
  <si>
    <t>T7, 21/11/2020</t>
  </si>
  <si>
    <t>08 14 19 20 49 51 28</t>
  </si>
  <si>
    <t>T3, 24/11/2020</t>
  </si>
  <si>
    <t>04 07 19 20 22 53 23</t>
  </si>
  <si>
    <t>T5, 26/11/2020</t>
  </si>
  <si>
    <t>18 19 29 31 36 52 50</t>
  </si>
  <si>
    <t>T7, 28/11/2020</t>
  </si>
  <si>
    <t>01 20 36 44 45 49 52</t>
  </si>
  <si>
    <t>T3, 01/12/2020</t>
  </si>
  <si>
    <t>06 10 12 24 34 43 15</t>
  </si>
  <si>
    <t>T5, 03/12/2020</t>
  </si>
  <si>
    <t>05 19 32 41 42 45 17</t>
  </si>
  <si>
    <t>T7, 05/12/2020</t>
  </si>
  <si>
    <t>10 28 29 30 37 38 36</t>
  </si>
  <si>
    <t>T3, 08/12/2020</t>
  </si>
  <si>
    <t>02 17 32 33 38 45 37</t>
  </si>
  <si>
    <t>T5, 10/12/2020</t>
  </si>
  <si>
    <t>03 31 34 36 44 54 45</t>
  </si>
  <si>
    <t>T7, 12/12/2020</t>
  </si>
  <si>
    <t>03 14 32 36 41 46 54</t>
  </si>
  <si>
    <t>T3, 15/12/2020</t>
  </si>
  <si>
    <t>10 11 13 35 38 49 14</t>
  </si>
  <si>
    <t>T5, 17/12/2020</t>
  </si>
  <si>
    <t>15 25 27 35 40 48 45</t>
  </si>
  <si>
    <t>T7, 19/12/2020</t>
  </si>
  <si>
    <t>14 20 32 34 37 49 31</t>
  </si>
  <si>
    <t>T3, 22/12/2020</t>
  </si>
  <si>
    <t>10 11 16 29 35 38 03</t>
  </si>
  <si>
    <t>T5, 24/12/2020</t>
  </si>
  <si>
    <t>11 19 34 41 44 48 43</t>
  </si>
  <si>
    <t>T7, 26/12/2020</t>
  </si>
  <si>
    <t>01 24 33 41 43 51 48</t>
  </si>
  <si>
    <t>T3, 29/12/2020</t>
  </si>
  <si>
    <t>04 08 11 15 17 41 23</t>
  </si>
  <si>
    <t>T5, 31/12/2020</t>
  </si>
  <si>
    <t>02 15 25 27 37 51 53</t>
  </si>
  <si>
    <t>T7, 02/01/2021</t>
  </si>
  <si>
    <t>07 19 23 26 35 45 11</t>
  </si>
  <si>
    <t>T3, 05/01/2021</t>
  </si>
  <si>
    <t>05 07 09 22 42 54 47</t>
  </si>
  <si>
    <t>T5, 07/01/2021</t>
  </si>
  <si>
    <t>07 11 22 38 48 51 53</t>
  </si>
  <si>
    <t>T7, 09/01/2021</t>
  </si>
  <si>
    <t>10 19 24 29 46 48 05</t>
  </si>
  <si>
    <t>T3, 12/01/2021</t>
  </si>
  <si>
    <t>19 23 29 34 44 53 35</t>
  </si>
  <si>
    <t>T5, 14/01/2021</t>
  </si>
  <si>
    <t>01 04 42 44 46 50 09</t>
  </si>
  <si>
    <t>T7, 16/01/2021</t>
  </si>
  <si>
    <t>13 15 28 29 32 44 49</t>
  </si>
  <si>
    <t>T3, 19/01/2021</t>
  </si>
  <si>
    <t>05 22 25 43 48 53 18</t>
  </si>
  <si>
    <t>T5, 21/01/2021</t>
  </si>
  <si>
    <t>09 20 22 31 47 52 18</t>
  </si>
  <si>
    <t>T7, 23/01/2021</t>
  </si>
  <si>
    <t>12 31 39 41 45 55 34</t>
  </si>
  <si>
    <t>T3, 26/01/2021</t>
  </si>
  <si>
    <t>07 16 32 42 44 47 35</t>
  </si>
  <si>
    <t>T5, 28/01/2021</t>
  </si>
  <si>
    <t>03 04 16 34 40 55 02</t>
  </si>
  <si>
    <t>T7, 30/01/2021</t>
  </si>
  <si>
    <t>02 07 17 18 21 29 19</t>
  </si>
  <si>
    <t>T3, 02/02/2021</t>
  </si>
  <si>
    <t>04 13 31 36 40 54 30</t>
  </si>
  <si>
    <t>T5, 04/02/2021</t>
  </si>
  <si>
    <t>28 43 44 50 51 53 13</t>
  </si>
  <si>
    <t>T7, 06/02/2021</t>
  </si>
  <si>
    <t>06 22 32 33 35 53 12</t>
  </si>
  <si>
    <t>T3, 09/02/2021</t>
  </si>
  <si>
    <t>15 20 21 29 31 41 34</t>
  </si>
  <si>
    <t>T7, 13/02/2021</t>
  </si>
  <si>
    <t>03 11 14 31 34 42 24</t>
  </si>
  <si>
    <t>T3, 16/02/2021</t>
  </si>
  <si>
    <t>04 10 11 21 23 44 50</t>
  </si>
  <si>
    <t>T5, 18/02/2021</t>
  </si>
  <si>
    <t>02 05 10 22 26 47 53</t>
  </si>
  <si>
    <t>T7, 20/02/2021</t>
  </si>
  <si>
    <t>01 02 04 32 34 39 20</t>
  </si>
  <si>
    <t>T3, 23/02/2021</t>
  </si>
  <si>
    <t>16 19 21 23 30 48 06</t>
  </si>
  <si>
    <t>T5, 25/02/2021</t>
  </si>
  <si>
    <t>09 19 32 40 45 51 01</t>
  </si>
  <si>
    <t>T7, 27/02/2021</t>
  </si>
  <si>
    <t>06 11 24 30 50 52 22</t>
  </si>
  <si>
    <t>T3, 02/03/2021</t>
  </si>
  <si>
    <t>23 29 45 46 49 51 01</t>
  </si>
  <si>
    <t>T5, 04/03/2021</t>
  </si>
  <si>
    <t>02 09 21 23 33 41 45</t>
  </si>
  <si>
    <t>T7, 06/03/2021</t>
  </si>
  <si>
    <t>18 24 34 39 46 55 04</t>
  </si>
  <si>
    <t>T3, 09/03/2021</t>
  </si>
  <si>
    <t>15 18 29 35 47 54 20</t>
  </si>
  <si>
    <t>T5, 11/03/2021</t>
  </si>
  <si>
    <t>04 05 12 25 43 44 27</t>
  </si>
  <si>
    <t>T7, 13/03/2021</t>
  </si>
  <si>
    <t>07 19 20 23 36 55 09</t>
  </si>
  <si>
    <t>T3, 16/03/2021</t>
  </si>
  <si>
    <t>03 31 45 46 49 54 40</t>
  </si>
  <si>
    <t>T5, 18/03/2021</t>
  </si>
  <si>
    <t>17 24 38 41 46 54 51</t>
  </si>
  <si>
    <t>T7, 20/03/2021</t>
  </si>
  <si>
    <t>16 18 20 25 35 36 17</t>
  </si>
  <si>
    <t>T3, 23/03/2021</t>
  </si>
  <si>
    <t>09 13 17 33 34 53 31</t>
  </si>
  <si>
    <t>T5, 25/03/2021</t>
  </si>
  <si>
    <t>19 20 24 29 36 39 22</t>
  </si>
  <si>
    <t>T7, 27/03/2021</t>
  </si>
  <si>
    <t>05 11 17 20 26 37 12</t>
  </si>
  <si>
    <t>T3, 30/03/2021</t>
  </si>
  <si>
    <t>02 11 17 19 47 51 22</t>
  </si>
  <si>
    <t>T5, 01/04/2021</t>
  </si>
  <si>
    <t>13 18 24 34 38 54 08</t>
  </si>
  <si>
    <t>T7, 03/04/2021</t>
  </si>
  <si>
    <t>02 04 34 38 41 55 19</t>
  </si>
  <si>
    <t>T3, 06/04/2021</t>
  </si>
  <si>
    <t>27 33 34 38 46 48 05</t>
  </si>
  <si>
    <t>T5, 08/04/2021</t>
  </si>
  <si>
    <t>08 11 16 22 28 30 45</t>
  </si>
  <si>
    <t>T7, 10/04/2021</t>
  </si>
  <si>
    <t>12 13 16 17 27 47 49</t>
  </si>
  <si>
    <t>T3, 13/04/2021</t>
  </si>
  <si>
    <t>25 33 39 45 49 55 36</t>
  </si>
  <si>
    <t>T5, 15/04/2021</t>
  </si>
  <si>
    <t>05 08 27 42 47 51 36</t>
  </si>
  <si>
    <t>T7, 17/04/2021</t>
  </si>
  <si>
    <t>04 15 16 29 42 46 36</t>
  </si>
  <si>
    <t>T3, 20/04/2021</t>
  </si>
  <si>
    <t>18 25 38 43 47 51 11</t>
  </si>
  <si>
    <t>T5, 22/04/2021</t>
  </si>
  <si>
    <t>05 11 17 25 39 48 22</t>
  </si>
  <si>
    <t>T7, 24/04/2021</t>
  </si>
  <si>
    <t>01 04 05 21 25 44 45</t>
  </si>
  <si>
    <t>T3, 27/04/2021</t>
  </si>
  <si>
    <t>03 09 22 26 32 37 41</t>
  </si>
  <si>
    <t>T5, 29/04/2021</t>
  </si>
  <si>
    <t>03 09 23 33 42 44 50</t>
  </si>
  <si>
    <t>T7, 01/05/2021</t>
  </si>
  <si>
    <t>03 07 14 22 41 42 10</t>
  </si>
  <si>
    <t>T3, 04/05/2021</t>
  </si>
  <si>
    <t>07 24 45 48 49 53 14</t>
  </si>
  <si>
    <t>T5, 06/05/2021</t>
  </si>
  <si>
    <t>15 19 24 31 44 53 32</t>
  </si>
  <si>
    <t>T7, 08/05/2021</t>
  </si>
  <si>
    <t>14 23 26 37 42 51 40</t>
  </si>
  <si>
    <t>T3, 11/05/2021</t>
  </si>
  <si>
    <t>01 14 41 44 46 53 48</t>
  </si>
  <si>
    <t>T5, 13/05/2021</t>
  </si>
  <si>
    <t>13 24 25 35 39 41 29</t>
  </si>
  <si>
    <t>T7, 15/05/2021</t>
  </si>
  <si>
    <t>01 05 06 13 23 27 46</t>
  </si>
  <si>
    <t>T3, 18/05/2021</t>
  </si>
  <si>
    <t>06 07 22 32 38 47 27</t>
  </si>
  <si>
    <t>T5, 20/05/2021</t>
  </si>
  <si>
    <t>07 10 12 19 42 54 24</t>
  </si>
  <si>
    <t>T7, 22/05/2021</t>
  </si>
  <si>
    <t>15 27 37 45 46 52 31</t>
  </si>
  <si>
    <t>T3, 25/05/2021</t>
  </si>
  <si>
    <t>06 10 33 35 36 43 08</t>
  </si>
  <si>
    <t>T5, 27/05/2021</t>
  </si>
  <si>
    <t>03 07 18 22 40 46 14</t>
  </si>
  <si>
    <t>T7, 29/05/2021</t>
  </si>
  <si>
    <t>02 11 31 37 43 55 14</t>
  </si>
  <si>
    <t>T3, 01/06/2021</t>
  </si>
  <si>
    <t>06 12 14 27 43 45 38</t>
  </si>
  <si>
    <t>T5, 03/06/2021</t>
  </si>
  <si>
    <t>04 08 21 24 26 47 43</t>
  </si>
  <si>
    <t>T7, 05/06/2021</t>
  </si>
  <si>
    <t>14 22 25 39 41 52 17</t>
  </si>
  <si>
    <t>T3, 08/06/2021</t>
  </si>
  <si>
    <t>16 28 33 41 42 54 12</t>
  </si>
  <si>
    <t>T5, 10/06/2021</t>
  </si>
  <si>
    <t>11 22 24 27 43 54 45</t>
  </si>
  <si>
    <t>T7, 12/06/2021</t>
  </si>
  <si>
    <t>04 16 17 20 27 44 30</t>
  </si>
  <si>
    <t>T3, 15/06/2021</t>
  </si>
  <si>
    <t>11 18 21 22 30 55 35</t>
  </si>
  <si>
    <t>T5, 17/06/2021</t>
  </si>
  <si>
    <t>18 23 38 41 44 55 40</t>
  </si>
  <si>
    <t>T7, 19/06/2021</t>
  </si>
  <si>
    <t>01 03 07 13 28 45 33</t>
  </si>
  <si>
    <t>T3, 22/06/2021</t>
  </si>
  <si>
    <t>03 09 32 33 41 43 40</t>
  </si>
  <si>
    <t>T5, 24/06/2021</t>
  </si>
  <si>
    <t>03 16 17 24 41 44 37</t>
  </si>
  <si>
    <t>T7, 26/06/2021</t>
  </si>
  <si>
    <t>06 16 17 20 49 52 27</t>
  </si>
  <si>
    <t>T3, 29/06/2021</t>
  </si>
  <si>
    <t>05 14 24 36 44 55 48</t>
  </si>
  <si>
    <t>T5, 01/07/2021</t>
  </si>
  <si>
    <t>04 15 28 30 49 52 55</t>
  </si>
  <si>
    <t>T7, 03/07/2021</t>
  </si>
  <si>
    <t>04 25 30 38 50 55 53</t>
  </si>
  <si>
    <t>T3, 06/07/2021</t>
  </si>
  <si>
    <t>17 20 22 24 30 54 51</t>
  </si>
  <si>
    <t>T5, 08/07/2021</t>
  </si>
  <si>
    <t>03 32 34 42 44 54 35</t>
  </si>
  <si>
    <t>T7, 10/07/2021</t>
  </si>
  <si>
    <t>07 08 17 37 47 48 27</t>
  </si>
  <si>
    <t>T3, 13/07/2021</t>
  </si>
  <si>
    <t>05 11 18 27 34 43 42</t>
  </si>
  <si>
    <t>T5, 15/07/2021</t>
  </si>
  <si>
    <t>03 04 12 16 30 50 20</t>
  </si>
  <si>
    <t>T7, 17/07/2021</t>
  </si>
  <si>
    <t>02 07 11 21 31 42 45</t>
  </si>
  <si>
    <t>T3, 20/07/2021</t>
  </si>
  <si>
    <t>02 08 11 13 17 26 53</t>
  </si>
  <si>
    <t>T5, 22/07/2021</t>
  </si>
  <si>
    <t>02 20 24 39 46 53 55</t>
  </si>
  <si>
    <t>T5, 19/08/2021</t>
  </si>
  <si>
    <t>05 09 12 20 43 51 13</t>
  </si>
  <si>
    <t>T7, 21/08/2021</t>
  </si>
  <si>
    <t>22 24 27 37 38 48 14</t>
  </si>
  <si>
    <t>T3, 24/08/2021</t>
  </si>
  <si>
    <t>02 04 07 18 30 35 20</t>
  </si>
  <si>
    <t>T5, 26/08/2021</t>
  </si>
  <si>
    <t>11 13 20 51 53 55 04</t>
  </si>
  <si>
    <t>T7, 28/08/2021</t>
  </si>
  <si>
    <t>10 16 26 27 34 48 51</t>
  </si>
  <si>
    <t>T3, 31/08/2021</t>
  </si>
  <si>
    <t>07 20 37 47 51 53 05</t>
  </si>
  <si>
    <t>T5, 02/09/2021</t>
  </si>
  <si>
    <t>01 08 12 26 28 45 43</t>
  </si>
  <si>
    <t>T7, 04/09/2021</t>
  </si>
  <si>
    <t>11 12 32 42 43 51 31</t>
  </si>
  <si>
    <t>T3, 07/09/2021</t>
  </si>
  <si>
    <t>19 30 35 43 47 55 12</t>
  </si>
  <si>
    <t>T5, 09/09/2021</t>
  </si>
  <si>
    <t>06 08 10 23 39 44 43</t>
  </si>
  <si>
    <t>T7, 11/09/2021</t>
  </si>
  <si>
    <t>08 17 20 36 39 44 30</t>
  </si>
  <si>
    <t>T3, 14/09/2021</t>
  </si>
  <si>
    <t>17 22 30 40 43 44 41</t>
  </si>
  <si>
    <t>T5, 16/09/2021</t>
  </si>
  <si>
    <t>10 16 40 43 45 46 22</t>
  </si>
  <si>
    <t>T7, 18/09/2021</t>
  </si>
  <si>
    <t>03 14 15 21 47 52 54</t>
  </si>
  <si>
    <t>T3, 21/09/2021</t>
  </si>
  <si>
    <t>15 24 25 40 42 50 49</t>
  </si>
  <si>
    <t>T5, 23/09/2021</t>
  </si>
  <si>
    <t>06 07 21 25 27 49 26</t>
  </si>
  <si>
    <t>T7, 25/09/2021</t>
  </si>
  <si>
    <t>07 20 27 43 48 51 37</t>
  </si>
  <si>
    <t>T3, 28/09/2021</t>
  </si>
  <si>
    <t>07 22 25 40 49 50 37</t>
  </si>
  <si>
    <t>T5, 30/09/2021</t>
  </si>
  <si>
    <t>18 23 26 32 46 49 54</t>
  </si>
  <si>
    <t>T7, 02/10/2021</t>
  </si>
  <si>
    <t>05 06 22 26 49 51 32</t>
  </si>
  <si>
    <t>T3, 05/10/2021</t>
  </si>
  <si>
    <t>11 16 17 19 38 43 24</t>
  </si>
  <si>
    <t>T5, 07/10/2021</t>
  </si>
  <si>
    <t>06 15 21 24 45 55 46</t>
  </si>
  <si>
    <t>T7, 09/10/2021</t>
  </si>
  <si>
    <t>01 22 25 38 39 54 19</t>
  </si>
  <si>
    <t>T3, 12/10/2021</t>
  </si>
  <si>
    <t>14 17 31 33 42 50 40</t>
  </si>
  <si>
    <t>T5, 14/10/2021</t>
  </si>
  <si>
    <t>09 21 24 30 41 44 40</t>
  </si>
  <si>
    <t>T7, 16/10/2021</t>
  </si>
  <si>
    <t>09 17 22 28 50 55 07</t>
  </si>
  <si>
    <t>T3, 19/10/2021</t>
  </si>
  <si>
    <t>03 09 25 29 46 50 18</t>
  </si>
  <si>
    <t>T5, 21/10/2021</t>
  </si>
  <si>
    <t>03 19 32 36 41 51 35</t>
  </si>
  <si>
    <t>T7, 23/10/2021</t>
  </si>
  <si>
    <t>05 11 19 26 28 33 09</t>
  </si>
  <si>
    <t>T3, 26/10/2021</t>
  </si>
  <si>
    <t>21 24 29 34 39 53 20</t>
  </si>
  <si>
    <t>T5, 28/10/2021</t>
  </si>
  <si>
    <t>02 04 06 13 31 35 16</t>
  </si>
  <si>
    <t>T7, 30/10/2021</t>
  </si>
  <si>
    <t>31 36 40 44 50 53 11</t>
  </si>
  <si>
    <t>T3, 02/11/2021</t>
  </si>
  <si>
    <t>37 38 42 46 47 55 23</t>
  </si>
  <si>
    <t>T5, 04/11/2021</t>
  </si>
  <si>
    <t>05 10 15 31 32 50 28</t>
  </si>
  <si>
    <t>T7, 06/11/2021</t>
  </si>
  <si>
    <t>23 31 41 48 49 51 03</t>
  </si>
  <si>
    <t>T3, 09/11/2021</t>
  </si>
  <si>
    <t>12 25 26 47 51 53 16</t>
  </si>
  <si>
    <t>T5, 11/11/2021</t>
  </si>
  <si>
    <t>03 35 37 41 45 49 31</t>
  </si>
  <si>
    <t>T7, 13/11/2021</t>
  </si>
  <si>
    <t>18 22 29 33 46 48 37</t>
  </si>
  <si>
    <t>T3, 16/11/2021</t>
  </si>
  <si>
    <t>08 19 27 34 46 51 02</t>
  </si>
  <si>
    <t>T5, 18/11/2021</t>
  </si>
  <si>
    <t>18 30 32 37 39 40 10</t>
  </si>
  <si>
    <t>T7, 20/11/2021</t>
  </si>
  <si>
    <t>06 10 29 30 31 51 35</t>
  </si>
  <si>
    <t>T3, 23/11/2021</t>
  </si>
  <si>
    <t>05 07 09 28 38 55 50</t>
  </si>
  <si>
    <t>T5, 25/11/2021</t>
  </si>
  <si>
    <t>16 18 24 29 33 41 43</t>
  </si>
  <si>
    <t>T7, 27/11/2021</t>
  </si>
  <si>
    <t>02 05 07 21 31 37 44</t>
  </si>
  <si>
    <t>T3, 30/11/2021</t>
  </si>
  <si>
    <t>12 21 23 28 33 46 38</t>
  </si>
  <si>
    <t>T5, 02/12/2021</t>
  </si>
  <si>
    <t>06 23 28 31 44 48 14</t>
  </si>
  <si>
    <t>T7, 04/12/2021</t>
  </si>
  <si>
    <t>07 09 31 32 36 49 37</t>
  </si>
  <si>
    <t>T3, 07/12/2021</t>
  </si>
  <si>
    <t>04 06 22 32 34 53 41</t>
  </si>
  <si>
    <t>T5, 09/12/2021</t>
  </si>
  <si>
    <t>03 14 33 40 41 50 17</t>
  </si>
  <si>
    <t>T7, 11/12/2021</t>
  </si>
  <si>
    <t>08 13 17 22 42 51 45</t>
  </si>
  <si>
    <t>T3, 14/12/2021</t>
  </si>
  <si>
    <t>10 16 19 24 39 50 29</t>
  </si>
  <si>
    <t>T5, 16/12/2021</t>
  </si>
  <si>
    <t>19 24 30 41 43 49 55</t>
  </si>
  <si>
    <t>T7, 18/12/2021</t>
  </si>
  <si>
    <t>04 06 19 26 38 41 16</t>
  </si>
  <si>
    <t>T3, 21/12/2021</t>
  </si>
  <si>
    <t>23 25 28 49 52 54 44</t>
  </si>
  <si>
    <t>T5, 23/12/2021</t>
  </si>
  <si>
    <t>08 22 29 43 45 54 23</t>
  </si>
  <si>
    <t>T7, 25/12/2021</t>
  </si>
  <si>
    <t>06 08 23 25 33 35 27</t>
  </si>
  <si>
    <t>T3, 28/12/2021</t>
  </si>
  <si>
    <t>03 08 09 40 44 48 02</t>
  </si>
  <si>
    <t>T5, 30/12/2021</t>
  </si>
  <si>
    <t>09 25 27 32 37 46 23</t>
  </si>
  <si>
    <t>T7, 01/01/2022</t>
  </si>
  <si>
    <t>04 25 28 32 33 55 03</t>
  </si>
  <si>
    <t>T3, 04/01/2022</t>
  </si>
  <si>
    <t>11 17 22 28 39 49 43</t>
  </si>
  <si>
    <t>T5, 06/01/2022</t>
  </si>
  <si>
    <t>04 08 14 21 30 49 38</t>
  </si>
  <si>
    <t>T7, 08/01/2022</t>
  </si>
  <si>
    <t>06 17 37 41 48 50 13</t>
  </si>
  <si>
    <t>T3, 11/01/2022</t>
  </si>
  <si>
    <t>12 25 26 28 33 46 22</t>
  </si>
  <si>
    <t>T5, 13/01/2022</t>
  </si>
  <si>
    <t>07 12 17 26 37 46 28</t>
  </si>
  <si>
    <t>T7, 15/01/2022</t>
  </si>
  <si>
    <t>20 26 41 46 47 48 18</t>
  </si>
  <si>
    <t>T3, 18/01/2022</t>
  </si>
  <si>
    <t>06 15 16 33 41 43 51</t>
  </si>
  <si>
    <t>T5, 20/01/2022</t>
  </si>
  <si>
    <t>08 21 32 34 41 46 48</t>
  </si>
  <si>
    <t>T7, 22/01/2022</t>
  </si>
  <si>
    <t>02 06 16 29 37 42 22</t>
  </si>
  <si>
    <t>T3, 25/01/2022</t>
  </si>
  <si>
    <t>02 16 17 20 31 51 50</t>
  </si>
  <si>
    <t>T5, 27/01/2022</t>
  </si>
  <si>
    <t>01 26 31 36 40 46 28</t>
  </si>
  <si>
    <t>T7, 29/01/2022</t>
  </si>
  <si>
    <t>06 10 17 23 25 38 21</t>
  </si>
  <si>
    <t>T5, 03/02/2022</t>
  </si>
  <si>
    <t>13 18 22 35 42 43 03</t>
  </si>
  <si>
    <t>T7, 05/02/2022</t>
  </si>
  <si>
    <t>01 17 23 29 44 45 37</t>
  </si>
  <si>
    <t>T3, 08/02/2022</t>
  </si>
  <si>
    <t>12 15 21 28 32 40 43</t>
  </si>
  <si>
    <t>T5, 10/02/2022</t>
  </si>
  <si>
    <t>03 15 26 35 43 52 07</t>
  </si>
  <si>
    <t>T7, 12/02/2022</t>
  </si>
  <si>
    <t>04 08 12 42 44 51 41</t>
  </si>
  <si>
    <t>T3, 15/02/2022</t>
  </si>
  <si>
    <t>05 07 14 24 29 36 46</t>
  </si>
  <si>
    <t>T5, 17/02/2022</t>
  </si>
  <si>
    <t>05 24 40 42 46 54 03</t>
  </si>
  <si>
    <t>T7, 19/02/2022</t>
  </si>
  <si>
    <t>01 11 14 33 46 48 40</t>
  </si>
  <si>
    <t>T3, 22/02/2022</t>
  </si>
  <si>
    <t>09 16 19 23 25 39 04</t>
  </si>
  <si>
    <t>T5, 24/02/2022</t>
  </si>
  <si>
    <t>02 15 25 30 31 32 13</t>
  </si>
  <si>
    <t>T7, 26/02/2022</t>
  </si>
  <si>
    <t>05 08 30 36 49 51 18</t>
  </si>
  <si>
    <t>T3, 01/03/2022</t>
  </si>
  <si>
    <t>15 19 25 42 51 53 02</t>
  </si>
  <si>
    <t>T5, 03/03/2022</t>
  </si>
  <si>
    <t>04 10 16 25 26 43 52</t>
  </si>
  <si>
    <t>T7, 05/03/2022</t>
  </si>
  <si>
    <t>05 12 15 25 43 48 01</t>
  </si>
  <si>
    <t>T3, 08/03/2022</t>
  </si>
  <si>
    <t>03 23 25 39 47 48 55</t>
  </si>
  <si>
    <t>T5, 10/03/2022</t>
  </si>
  <si>
    <t>01 03 08 16 19 36 41</t>
  </si>
  <si>
    <t>T7, 12/03/2022</t>
  </si>
  <si>
    <t>12 16 18 26 30 45 36</t>
  </si>
  <si>
    <t>T3, 15/03/2022</t>
  </si>
  <si>
    <t>06 14 24 28 33 52 50</t>
  </si>
  <si>
    <t>T5, 17/03/2022</t>
  </si>
  <si>
    <t>01 06 12 21 37 49 53</t>
  </si>
  <si>
    <t>T7, 19/03/2022</t>
  </si>
  <si>
    <t>08 20 24 37 51 55 27</t>
  </si>
  <si>
    <t>T3, 22/03/2022</t>
  </si>
  <si>
    <t>01 14 18 28 47 49 22</t>
  </si>
  <si>
    <t>T5, 24/03/2022</t>
  </si>
  <si>
    <t>05 09 16 35 45 46 44</t>
  </si>
  <si>
    <t>T7, 26/03/2022</t>
  </si>
  <si>
    <t>01 06 16 30 34 55 29</t>
  </si>
  <si>
    <t>T3, 29/03/2022</t>
  </si>
  <si>
    <t>05 11 32 35 40 52 31</t>
  </si>
  <si>
    <t>T5, 31/03/2022</t>
  </si>
  <si>
    <t>05 24 34 39 42 49 16</t>
  </si>
  <si>
    <t>T7, 02/04/2022</t>
  </si>
  <si>
    <t>32 38 42 44 47 55 46</t>
  </si>
  <si>
    <t>T3, 05/04/2022</t>
  </si>
  <si>
    <t>05 18 26 36 43 44 45</t>
  </si>
  <si>
    <t>T5, 07/04/2022</t>
  </si>
  <si>
    <t>06 14 15 25 29 32 41</t>
  </si>
  <si>
    <t>T7, 09/04/2022</t>
  </si>
  <si>
    <t>02 03 19 28 42 45 12</t>
  </si>
  <si>
    <t>T3, 12/04/2022</t>
  </si>
  <si>
    <t>11 18 20 22 25 40 05</t>
  </si>
  <si>
    <t>T5, 14/04/2022</t>
  </si>
  <si>
    <t>01 05 09 34 37 45 52</t>
  </si>
  <si>
    <t>T7, 16/04/2022</t>
  </si>
  <si>
    <t>04 08 39 41 53 55 52</t>
  </si>
  <si>
    <t>T3, 19/04/2022</t>
  </si>
  <si>
    <t>02 07 13 28 29 34 39</t>
  </si>
  <si>
    <t>T5, 21/04/2022</t>
  </si>
  <si>
    <t>21 24 27 34 38 42 46</t>
  </si>
  <si>
    <t>T7, 23/04/2022</t>
  </si>
  <si>
    <t>03 27 36 41 49 55 18</t>
  </si>
  <si>
    <t>T3, 26/04/2022</t>
  </si>
  <si>
    <t>14 22 24 25 43 49 17</t>
  </si>
  <si>
    <t>T5, 28/04/2022</t>
  </si>
  <si>
    <t>08 24 25 32 37 44 03</t>
  </si>
  <si>
    <t>T7, 30/04/2022</t>
  </si>
  <si>
    <t>11 23 51 52 53 54 27</t>
  </si>
  <si>
    <t>T3, 03/05/2022</t>
  </si>
  <si>
    <t>01 22 38 48 49 53 42</t>
  </si>
  <si>
    <t>T5, 05/05/2022</t>
  </si>
  <si>
    <t>27 29 33 39 47 53 55</t>
  </si>
  <si>
    <t>T7, 07/05/2022</t>
  </si>
  <si>
    <t>15 32 33 36 43 46 31</t>
  </si>
  <si>
    <t>T3, 10/05/2022</t>
  </si>
  <si>
    <t>12 18 41 43 47 51 10</t>
  </si>
  <si>
    <t>T5, 12/05/2022</t>
  </si>
  <si>
    <t>09 18 24 43 44 50 15</t>
  </si>
  <si>
    <t>T7, 14/05/2022</t>
  </si>
  <si>
    <t>02 28 30 43 44 55 22</t>
  </si>
  <si>
    <t>T3, 17/05/2022</t>
  </si>
  <si>
    <t>11 17 25 29 45 48 53</t>
  </si>
  <si>
    <t>T5, 19/05/2022</t>
  </si>
  <si>
    <t>03 06 31 40 47 54 08</t>
  </si>
  <si>
    <t>T7, 21/05/2022</t>
  </si>
  <si>
    <t>19 32 38 40 45 48 02</t>
  </si>
  <si>
    <t>T3, 24/05/2022</t>
  </si>
  <si>
    <t>18 31 32 46 50 52 28</t>
  </si>
  <si>
    <t>T5, 26/05/2022</t>
  </si>
  <si>
    <t>04 30 32 39 41 53 42</t>
  </si>
  <si>
    <t>T7, 28/05/2022</t>
  </si>
  <si>
    <t>33 36 38 42 43 46 03</t>
  </si>
  <si>
    <t>T3, 31/05/2022</t>
  </si>
  <si>
    <t>04 10 15 16 47 51 23</t>
  </si>
  <si>
    <t>T5, 02/06/2022</t>
  </si>
  <si>
    <t>07 11 28 30 33 50 49</t>
  </si>
  <si>
    <t>T7, 04/06/2022</t>
  </si>
  <si>
    <t>03 17 27 30 34 49 25</t>
  </si>
  <si>
    <t>T3, 07/06/2022</t>
  </si>
  <si>
    <t>16 17 21 28 39 50 19</t>
  </si>
  <si>
    <t>T5, 09/06/2022</t>
  </si>
  <si>
    <t>30 31 35 43 48 50 22</t>
  </si>
  <si>
    <t>T7, 11/06/2022</t>
  </si>
  <si>
    <t>10 18 23 25 45 47 38</t>
  </si>
  <si>
    <t>T3, 14/06/2022</t>
  </si>
  <si>
    <t>02 15 26 32 35 36 16</t>
  </si>
  <si>
    <t>T5, 16/06/2022</t>
  </si>
  <si>
    <t>09 13 21 40 51 54 04</t>
  </si>
  <si>
    <t>T7, 18/06/2022</t>
  </si>
  <si>
    <t>06 27 43 44 45 47 33</t>
  </si>
  <si>
    <t>T3, 21/06/2022</t>
  </si>
  <si>
    <t>09 13 19 21 34 51 35</t>
  </si>
  <si>
    <t>T5, 23/06/2022</t>
  </si>
  <si>
    <t>10 22 23 34 46 54 27</t>
  </si>
  <si>
    <t>T7, 25/06/2022</t>
  </si>
  <si>
    <t>14 17 31 35 37 40 28</t>
  </si>
  <si>
    <t>T3, 28/06/2022</t>
  </si>
  <si>
    <t>05 22 30 32 38 55 33</t>
  </si>
  <si>
    <t>T5, 30/06/2022</t>
  </si>
  <si>
    <t>05 11 15 19 29 31 35</t>
  </si>
  <si>
    <t>T7, 02/07/2022</t>
  </si>
  <si>
    <t>06 26 39 40 46 47 02</t>
  </si>
  <si>
    <t>T3, 05/07/2022</t>
  </si>
  <si>
    <t>05 07 12 26 29 44 38</t>
  </si>
  <si>
    <t>T5, 07/07/2022</t>
  </si>
  <si>
    <t>18 24 32 43 48 55 15</t>
  </si>
  <si>
    <t>T7, 09/07/2022</t>
  </si>
  <si>
    <t>05 21 24 47 52 55 20</t>
  </si>
  <si>
    <t>T3, 12/07/2022</t>
  </si>
  <si>
    <t>12 13 24 25 39 41 09</t>
  </si>
  <si>
    <t>T5, 14/07/2022</t>
  </si>
  <si>
    <t>11 25 29 37 39 52 45</t>
  </si>
  <si>
    <t>T7, 16/07/2022</t>
  </si>
  <si>
    <t>06 13 18 27 34 46 33</t>
  </si>
  <si>
    <t>T3, 19/07/2022</t>
  </si>
  <si>
    <t>08 09 33 34 35 52 36</t>
  </si>
  <si>
    <t>T5, 21/07/2022</t>
  </si>
  <si>
    <t>02 20 33 45 51 55 01</t>
  </si>
  <si>
    <t>T7, 23/07/2022</t>
  </si>
  <si>
    <t>27 28 29 39 40 54 13</t>
  </si>
  <si>
    <t>T3, 26/07/2022</t>
  </si>
  <si>
    <t>05 08 09 13 14 47 53</t>
  </si>
  <si>
    <t>T5, 28/07/2022</t>
  </si>
  <si>
    <t>05 06 17 28 29 39 34</t>
  </si>
  <si>
    <t>T7, 30/07/2022</t>
  </si>
  <si>
    <t>01 04 24 35 44 47 17</t>
  </si>
  <si>
    <t>T3, 02/08/2022</t>
  </si>
  <si>
    <t>02 05 28 40 47 48 31</t>
  </si>
  <si>
    <t>T5, 04/08/2022</t>
  </si>
  <si>
    <t>08 09 20 41 48 54 02</t>
  </si>
  <si>
    <t>T7, 06/08/2022</t>
  </si>
  <si>
    <t>06 21 27 41 51 53 43</t>
  </si>
  <si>
    <t>T3, 09/08/2022</t>
  </si>
  <si>
    <t>09 10 36 41 51 55 52</t>
  </si>
  <si>
    <t>T5, 11/08/2022</t>
  </si>
  <si>
    <t>01 12 21 34 48 55 50</t>
  </si>
  <si>
    <t>T7, 13/08/2022</t>
  </si>
  <si>
    <t>19 28 29 30 33 36 14</t>
  </si>
  <si>
    <t>T3, 16/08/2022</t>
  </si>
  <si>
    <t>17 18 28 47 50 53 11</t>
  </si>
  <si>
    <t>T5, 18/08/2022</t>
  </si>
  <si>
    <t>23 27 31 37 38 42 26</t>
  </si>
  <si>
    <t>T7, 20/08/2022</t>
  </si>
  <si>
    <t>06 16 29 32 42 51 43</t>
  </si>
  <si>
    <t>T3, 23/08/2022</t>
  </si>
  <si>
    <t>13 21 31 41 44 45 27</t>
  </si>
  <si>
    <t>T5, 25/08/2022</t>
  </si>
  <si>
    <t>19 30 35 40 49 53 42</t>
  </si>
  <si>
    <t>T7, 27/08/2022</t>
  </si>
  <si>
    <t>01 05 07 10 25 48 36</t>
  </si>
  <si>
    <t>T3, 30/08/2022</t>
  </si>
  <si>
    <t>02 13 19 29 30 32 16</t>
  </si>
  <si>
    <t>T5, 01/09/2022</t>
  </si>
  <si>
    <t>04 14 18 39 50 53 31</t>
  </si>
  <si>
    <t>T7, 03/09/2022</t>
  </si>
  <si>
    <t>11 22 31 33 40 46 41</t>
  </si>
  <si>
    <t>T3, 06/09/2022</t>
  </si>
  <si>
    <t>01 05 27 43 52 54 15</t>
  </si>
  <si>
    <t>T5, 08/09/2022</t>
  </si>
  <si>
    <t>09 13 23 32 36 52 43</t>
  </si>
  <si>
    <t>T7, 10/09/2022</t>
  </si>
  <si>
    <t>02 08 15 19 35 38 14</t>
  </si>
  <si>
    <t>T3, 13/09/2022</t>
  </si>
  <si>
    <t>09 10 21 40 41 48 54</t>
  </si>
  <si>
    <t>T5, 15/09/2022</t>
  </si>
  <si>
    <t>03 08 19 30 41 52 09</t>
  </si>
  <si>
    <t>T7, 17/09/2022</t>
  </si>
  <si>
    <t>05 08 19 34 40 49 39</t>
  </si>
  <si>
    <t>T3, 20/09/2022</t>
  </si>
  <si>
    <t>08 27 32 43 53 54 45</t>
  </si>
  <si>
    <t>T5, 22/09/2022</t>
  </si>
  <si>
    <t>12 14 19 29 44 47 26</t>
  </si>
  <si>
    <t>T7, 24/09/2022</t>
  </si>
  <si>
    <t>01 04 05 17 42 47 09</t>
  </si>
  <si>
    <t>T3, 27/09/2022</t>
  </si>
  <si>
    <t>11 13 23 27 37 43 34</t>
  </si>
  <si>
    <t>T5, 29/09/2022</t>
  </si>
  <si>
    <t>15 32 33 37 42 54 28</t>
  </si>
  <si>
    <t>T7, 01/10/2022</t>
  </si>
  <si>
    <t>14 15 16 22 23 29 20</t>
  </si>
  <si>
    <t>T3, 04/10/2022</t>
  </si>
  <si>
    <t>05 11 12 22 43 45 42</t>
  </si>
  <si>
    <t>T5, 06/10/2022</t>
  </si>
  <si>
    <t>06 08 19 20 47 53 07</t>
  </si>
  <si>
    <t>T7, 08/10/2022</t>
  </si>
  <si>
    <t>11 17 23 34 41 51 40</t>
  </si>
  <si>
    <t>T3, 11/10/2022</t>
  </si>
  <si>
    <t>11 26 34 40 46 52 01</t>
  </si>
  <si>
    <t>T5, 13/10/2022</t>
  </si>
  <si>
    <t>12 13 43 48 51 52 15</t>
  </si>
  <si>
    <t>T7, 15/10/2022</t>
  </si>
  <si>
    <t>08 15 16 39 45 51 23</t>
  </si>
  <si>
    <t>T3, 18/10/2022</t>
  </si>
  <si>
    <t>06 30 36 39 44 46 49</t>
  </si>
  <si>
    <t>T5, 20/10/2022</t>
  </si>
  <si>
    <t>15 21 27 34 37 53 29</t>
  </si>
  <si>
    <t>T7, 22/10/2022</t>
  </si>
  <si>
    <t>17 19 35 42 51 52 34</t>
  </si>
  <si>
    <t>T3, 25/10/2022</t>
  </si>
  <si>
    <t>08 18 20 22 42 46 01</t>
  </si>
  <si>
    <t>T5, 27/10/2022</t>
  </si>
  <si>
    <t>01 07 10 17 19 30 53</t>
  </si>
  <si>
    <t>T7, 29/10/2022</t>
  </si>
  <si>
    <t>01 03 10 13 15 20 32</t>
  </si>
  <si>
    <t>T3, 01/11/2022</t>
  </si>
  <si>
    <t>03 09 20 23 31 54 55</t>
  </si>
  <si>
    <t>T5, 03/11/2022</t>
  </si>
  <si>
    <t>08 13 24 28 29 33 49</t>
  </si>
  <si>
    <t>T7, 05/11/2022</t>
  </si>
  <si>
    <t>10 19 22 25 47 53 52</t>
  </si>
  <si>
    <t>T3, 08/11/2022</t>
  </si>
  <si>
    <t>12 27 33 44 48 50 18</t>
  </si>
  <si>
    <t>T5, 10/11/2022</t>
  </si>
  <si>
    <t>08 11 14 27 38 45 21</t>
  </si>
  <si>
    <t>T7, 12/11/2022</t>
  </si>
  <si>
    <t>08 18 23 30 35 42 43</t>
  </si>
  <si>
    <t>T3, 15/11/2022</t>
  </si>
  <si>
    <t>04 20 26 36 47 51 33</t>
  </si>
  <si>
    <t>T5, 17/11/2022</t>
  </si>
  <si>
    <t>01 19 25 27 38 42 54</t>
  </si>
  <si>
    <t>T7, 19/11/2022</t>
  </si>
  <si>
    <t>03 15 22 39 46 48 43</t>
  </si>
  <si>
    <t>T3, 22/11/2022</t>
  </si>
  <si>
    <t>03 09 21 22 26 35 15</t>
  </si>
  <si>
    <t>T5, 24/11/2022</t>
  </si>
  <si>
    <t>04 06 18 27 52 53 10</t>
  </si>
  <si>
    <t>T7, 26/11/2022</t>
  </si>
  <si>
    <t>08 23 24 48 49 52 01</t>
  </si>
  <si>
    <t>T3, 29/11/2022</t>
  </si>
  <si>
    <t>02 13 16 18 41 42 19</t>
  </si>
  <si>
    <t>T5, 01/12/2022</t>
  </si>
  <si>
    <t>11 14 29 31 52 54 07</t>
  </si>
  <si>
    <t>T7, 03/12/2022</t>
  </si>
  <si>
    <t>16 17 27 48 52 53 24</t>
  </si>
  <si>
    <t>T3, 06/12/2022</t>
  </si>
  <si>
    <t>01 11 25 44 45 46 35</t>
  </si>
  <si>
    <t>T5, 08/12/2022</t>
  </si>
  <si>
    <t>06 30 36 41 49 55 20</t>
  </si>
  <si>
    <t>T7, 10/12/2022</t>
  </si>
  <si>
    <t>02 12 13 18 33 44 31</t>
  </si>
  <si>
    <t>T3, 13/12/2022</t>
  </si>
  <si>
    <t>10 22 31 37 41 52 20</t>
  </si>
  <si>
    <t>T5, 15/12/2022</t>
  </si>
  <si>
    <t>02 25 38 50 51 55 21</t>
  </si>
  <si>
    <t>T7, 17/12/2022</t>
  </si>
  <si>
    <t>01 02 29 34 41 42 09</t>
  </si>
  <si>
    <t>T3, 20/12/2022</t>
  </si>
  <si>
    <t>02 06 09 20 31 35 42</t>
  </si>
  <si>
    <t>T5, 22/12/2022</t>
  </si>
  <si>
    <t>14 26 35 43 45 48 03</t>
  </si>
  <si>
    <t>T7, 24/12/2022</t>
  </si>
  <si>
    <t>05 19 22 23 30 44 52</t>
  </si>
  <si>
    <t>T3, 27/12/2022</t>
  </si>
  <si>
    <t>11 12 13 14 23 55 27</t>
  </si>
  <si>
    <t>T5, 29/12/2022</t>
  </si>
  <si>
    <t>06 08 33 37 38 51 48</t>
  </si>
  <si>
    <t>T7, 31/12/2022</t>
  </si>
  <si>
    <t>10 15 36 42 45 52 20</t>
  </si>
  <si>
    <t>T3, 03/01/2023</t>
  </si>
  <si>
    <t>09 13 24 43 47 48 18</t>
  </si>
  <si>
    <t>T5, 05/01/2023</t>
  </si>
  <si>
    <t>05 12 34 37 47 49 28</t>
  </si>
  <si>
    <t>T7, 07/01/2023</t>
  </si>
  <si>
    <t>03 04 09 15 33 54 16</t>
  </si>
  <si>
    <t>T3, 10/01/2023</t>
  </si>
  <si>
    <t>05 12 14 19 46 51 36</t>
  </si>
  <si>
    <t>T5, 12/01/2023</t>
  </si>
  <si>
    <t>05 14 37 45 47 55 25</t>
  </si>
  <si>
    <t>T7, 14/01/2023</t>
  </si>
  <si>
    <t>05 17 24 30 43 53 26</t>
  </si>
  <si>
    <t>T3, 17/01/2023</t>
  </si>
  <si>
    <t>01 09 20 36 44 50 40</t>
  </si>
  <si>
    <t>T5, 19/01/2023</t>
  </si>
  <si>
    <t>03 21 32 33 38 52 30</t>
  </si>
  <si>
    <t>T3, 24/01/2023</t>
  </si>
  <si>
    <t>03 05 10 12 29 30 09</t>
  </si>
  <si>
    <t>T5, 26/01/2023</t>
  </si>
  <si>
    <t>08 15 18 20 33 41 14</t>
  </si>
  <si>
    <t>T7, 28/01/2023</t>
  </si>
  <si>
    <t>09 22 23 29 38 47 33</t>
  </si>
  <si>
    <t>T3, 31/01/2023</t>
  </si>
  <si>
    <t>10 11 31 32 38 52 05</t>
  </si>
  <si>
    <t>T5, 02/02/2023</t>
  </si>
  <si>
    <t>03 10 23 29 34 53 11</t>
  </si>
  <si>
    <t>T7, 04/02/2023</t>
  </si>
  <si>
    <t>02 06 08 27 41 46 20</t>
  </si>
  <si>
    <t>T3, 07/02/2023</t>
  </si>
  <si>
    <t>06 27 29 32 39 52 09</t>
  </si>
  <si>
    <t>T5, 09/02/2023</t>
  </si>
  <si>
    <t>01 10 29 30 49 50 09</t>
  </si>
  <si>
    <t>T7, 11/02/2023</t>
  </si>
  <si>
    <t>04 13 45 48 52 54 05</t>
  </si>
  <si>
    <t>T3, 14/02/2023</t>
  </si>
  <si>
    <t>01 09 33 37 43 45 23</t>
  </si>
  <si>
    <t>T5, 16/02/2023</t>
  </si>
  <si>
    <t>01 05 07 08 20 22 33</t>
  </si>
  <si>
    <t>T7, 18/02/2023</t>
  </si>
  <si>
    <t>11 23 26 29 43 50 05</t>
  </si>
  <si>
    <t>T3, 21/02/2023</t>
  </si>
  <si>
    <t>04 12 15 21 30 44 05</t>
  </si>
  <si>
    <t>T5, 23/02/2023</t>
  </si>
  <si>
    <t>12 16 29 31 39 48 40</t>
  </si>
  <si>
    <t>T7, 25/02/2023</t>
  </si>
  <si>
    <t>01 02 14 21 38 51 50</t>
  </si>
  <si>
    <t>T3, 28/02/2023</t>
  </si>
  <si>
    <t>02 13 14 30 43 55 22</t>
  </si>
  <si>
    <t>T5, 02/03/2023</t>
  </si>
  <si>
    <t>01 03 23 24 43 48 31</t>
  </si>
  <si>
    <t>T7, 04/03/2023</t>
  </si>
  <si>
    <t>09 13 23 36 38 54 21</t>
  </si>
  <si>
    <t>T3, 07/03/2023</t>
  </si>
  <si>
    <t>08 22 25 27 39 50 28</t>
  </si>
  <si>
    <t>T5, 09/03/2023</t>
  </si>
  <si>
    <t>12 22 28 34 53 54 40</t>
  </si>
  <si>
    <t>T7, 11/03/2023</t>
  </si>
  <si>
    <t>13 23 25 30 35 44 08</t>
  </si>
  <si>
    <t>T3, 14/03/2023</t>
  </si>
  <si>
    <t>14 15 18 20 27 35 31</t>
  </si>
  <si>
    <t>T5, 16/03/2023</t>
  </si>
  <si>
    <t>06 23 34 48 50 55 02</t>
  </si>
  <si>
    <t>T7, 18/03/2023</t>
  </si>
  <si>
    <t>18 24 32 33 51 53 36</t>
  </si>
  <si>
    <t>T3, 21/03/2023</t>
  </si>
  <si>
    <t>07 17 31 43 45 49 52</t>
  </si>
  <si>
    <t>T5, 23/03/2023</t>
  </si>
  <si>
    <t>04 07 22 33 40 49 39</t>
  </si>
  <si>
    <t>T7, 25/03/2023</t>
  </si>
  <si>
    <t>17 18 28 40 49 54 16</t>
  </si>
  <si>
    <t>T3, 28/03/2023</t>
  </si>
  <si>
    <t>06 21 24 41 50 53 13</t>
  </si>
  <si>
    <t>T5, 30/03/2023</t>
  </si>
  <si>
    <t>06 11 14 21 30 32 22</t>
  </si>
  <si>
    <t>T7, 01/04/2023</t>
  </si>
  <si>
    <t>12 34 39 44 49 55 14</t>
  </si>
  <si>
    <t>T3, 04/04/2023</t>
  </si>
  <si>
    <t>13 28 41 42 47 51 09</t>
  </si>
  <si>
    <t>T5, 06/04/2023</t>
  </si>
  <si>
    <t>07 10 12 33 52 54 16</t>
  </si>
  <si>
    <t>T7, 08/04/2023</t>
  </si>
  <si>
    <t>17 33 36 46 50 52 40</t>
  </si>
  <si>
    <t>T3, 11/04/2023</t>
  </si>
  <si>
    <t>10 14 16 18 37 49 54</t>
  </si>
  <si>
    <t>T5, 13/04/2023</t>
  </si>
  <si>
    <t>22 26 28 37 39 48 15</t>
  </si>
  <si>
    <t>T7, 15/04/2023</t>
  </si>
  <si>
    <t>01 34 35 36 42 43 05</t>
  </si>
  <si>
    <t>T3, 18/04/2023</t>
  </si>
  <si>
    <t>17 18 30 40 51 55 50</t>
  </si>
  <si>
    <t>T5, 20/04/2023</t>
  </si>
  <si>
    <t>07 11 32 35 42 51 46</t>
  </si>
  <si>
    <t>T7, 22/04/2023</t>
  </si>
  <si>
    <t>09 18 23 24 48 52 10</t>
  </si>
  <si>
    <t>T3, 25/04/2023</t>
  </si>
  <si>
    <t>06 10 19 23 25 28 45</t>
  </si>
  <si>
    <t>T5, 27/04/2023</t>
  </si>
  <si>
    <t>08 28 38 39 41 45 54</t>
  </si>
  <si>
    <t>T7, 29/04/2023</t>
  </si>
  <si>
    <t>02 09 12 24 41 53 35</t>
  </si>
  <si>
    <t>T3, 02/05/2023</t>
  </si>
  <si>
    <t>04 11 18 25 33 45 21</t>
  </si>
  <si>
    <t>T5, 04/05/2023</t>
  </si>
  <si>
    <t>13 30 32 35 45 52 29</t>
  </si>
  <si>
    <t>T7, 06/05/2023</t>
  </si>
  <si>
    <t>01 11 22 28 34 42 10</t>
  </si>
  <si>
    <t>T3, 09/05/2023</t>
  </si>
  <si>
    <t>07 09 13 22 44 47 39</t>
  </si>
  <si>
    <t>T5, 11/05/2023</t>
  </si>
  <si>
    <t>01 03 19 33 34 51 17</t>
  </si>
  <si>
    <t>T7, 13/05/2023</t>
  </si>
  <si>
    <t>22 24 35 43 45 54 50</t>
  </si>
  <si>
    <t>T3, 16/05/2023</t>
  </si>
  <si>
    <t>19 24 30 34 40 44 51</t>
  </si>
  <si>
    <t>T5, 18/05/2023</t>
  </si>
  <si>
    <t>13 14 21 23 30 41 49</t>
  </si>
  <si>
    <t>T7, 20/05/2023</t>
  </si>
  <si>
    <t>01 14 21 36 48 53 44</t>
  </si>
  <si>
    <t>T3, 23/05/2023</t>
  </si>
  <si>
    <t>26 27 35 36 47 54 40</t>
  </si>
  <si>
    <t>T5, 25/05/2023</t>
  </si>
  <si>
    <t>15 16 19 31 33 46 07</t>
  </si>
  <si>
    <t>T7, 27/05/2023</t>
  </si>
  <si>
    <t>04 06 08 18 39 43 28</t>
  </si>
  <si>
    <t>T3, 30/05/2023</t>
  </si>
  <si>
    <t>01 14 24 28 40 46 34</t>
  </si>
  <si>
    <t>T5, 01/06/2023</t>
  </si>
  <si>
    <t>03 18 40 41 46 47 36</t>
  </si>
  <si>
    <t>T7, 03/06/2023</t>
  </si>
  <si>
    <t>23 28 29 36 38 41 07</t>
  </si>
  <si>
    <t>T3, 06/06/2023</t>
  </si>
  <si>
    <t>01 14 23 27 44 50 43</t>
  </si>
  <si>
    <t>T5, 08/06/2023</t>
  </si>
  <si>
    <t>03 36 38 43 51 53 02</t>
  </si>
  <si>
    <t>T7, 10/06/2023</t>
  </si>
  <si>
    <t>10 17 27 32 35 41 54</t>
  </si>
  <si>
    <t>T3, 13/06/2023</t>
  </si>
  <si>
    <t>04 14 18 27 47 50 33</t>
  </si>
  <si>
    <t>T5, 15/06/2023</t>
  </si>
  <si>
    <t>10 11 25 39 46 55 40</t>
  </si>
  <si>
    <t>T7, 17/06/2023</t>
  </si>
  <si>
    <t>07 13 23 34 38 40 55</t>
  </si>
  <si>
    <t>T3, 20/06/2023</t>
  </si>
  <si>
    <t>07 23 26 31 35 53 32</t>
  </si>
  <si>
    <t>T5, 22/06/2023</t>
  </si>
  <si>
    <t>02 11 14 35 43 51 55</t>
  </si>
  <si>
    <t>T7, 24/06/2023</t>
  </si>
  <si>
    <t>08 09 16 20 50 53 03</t>
  </si>
  <si>
    <t>T3, 27/06/2023</t>
  </si>
  <si>
    <t>02 12 15 16 27 28 47</t>
  </si>
  <si>
    <t>T5, 29/06/2023</t>
  </si>
  <si>
    <t>01 11 12 28 46 54 40</t>
  </si>
  <si>
    <t>T7, 01/07/2023</t>
  </si>
  <si>
    <t>13 33 36 38 45 50 25</t>
  </si>
  <si>
    <t>T3, 04/07/2023</t>
  </si>
  <si>
    <t>04 13 14 23 33 50 41</t>
  </si>
  <si>
    <t>T5, 06/07/2023</t>
  </si>
  <si>
    <t>07 12 29 39 46 55 01</t>
  </si>
  <si>
    <t>T7, 08/07/2023</t>
  </si>
  <si>
    <t>08 11 23 43 44 48 41</t>
  </si>
  <si>
    <t>T3, 11/07/2023</t>
  </si>
  <si>
    <t>24 40 44 46 47 49 05</t>
  </si>
  <si>
    <t>T5, 13/07/2023</t>
  </si>
  <si>
    <t>03 04 30 34 36 49 08</t>
  </si>
  <si>
    <t>T7, 15/07/2023</t>
  </si>
  <si>
    <t>02 16 31 37 38 48 36</t>
  </si>
  <si>
    <t>T3, 18/07/2023</t>
  </si>
  <si>
    <t>10 11 19 28 42 47 16</t>
  </si>
  <si>
    <t>T5, 20/07/2023</t>
  </si>
  <si>
    <t>05 34 36 38 47 50 26</t>
  </si>
  <si>
    <t>T7, 22/07/2023</t>
  </si>
  <si>
    <t>09 15 23 25 27 34 41</t>
  </si>
  <si>
    <t>T3, 25/07/2023</t>
  </si>
  <si>
    <t>12 23 42 44 51 52 03</t>
  </si>
  <si>
    <t>T5, 27/07/2023</t>
  </si>
  <si>
    <t>03 11 13 31 33 45 27</t>
  </si>
  <si>
    <t>T7, 29/07/2023</t>
  </si>
  <si>
    <t>16 23 25 26 29 40 32</t>
  </si>
  <si>
    <t>T3, 01/08/2023</t>
  </si>
  <si>
    <t>04 18 22 25 33 48 02</t>
  </si>
  <si>
    <t>T5, 03/08/2023</t>
  </si>
  <si>
    <t>03 12 22 25 37 39 07</t>
  </si>
  <si>
    <t>T7, 05/08/2023</t>
  </si>
  <si>
    <t>22 34 40 47 49 51 44</t>
  </si>
  <si>
    <t>T3, 08/08/2023</t>
  </si>
  <si>
    <t>05 06 19 20 40 45 47</t>
  </si>
  <si>
    <t>T5, 10/08/2023</t>
  </si>
  <si>
    <t>04 14 31 42 47 49 43</t>
  </si>
  <si>
    <t>T7, 12/08/2023</t>
  </si>
  <si>
    <t>13 24 39 43 45 52 08</t>
  </si>
  <si>
    <t>T3, 15/08/2023</t>
  </si>
  <si>
    <t>05 12 25 39 40 53 52</t>
  </si>
  <si>
    <t>T5, 17/08/2023</t>
  </si>
  <si>
    <t>01 05 25 32 51 52 54</t>
  </si>
  <si>
    <t>T7, 19/08/2023</t>
  </si>
  <si>
    <t>07 09 13 22 27 42 23</t>
  </si>
  <si>
    <t>T3, 22/08/2023</t>
  </si>
  <si>
    <t>02 03 06 34 35 36 31</t>
  </si>
  <si>
    <t>T5, 24/08/2023</t>
  </si>
  <si>
    <t>01 10 20 41 42 50 39</t>
  </si>
  <si>
    <t>T7, 26/08/2023</t>
  </si>
  <si>
    <t>05 08 24 38 50 51 47</t>
  </si>
  <si>
    <t>T3, 29/08/2023</t>
  </si>
  <si>
    <t>01 08 20 25 35 53 54</t>
  </si>
  <si>
    <t>T5, 31/08/2023</t>
  </si>
  <si>
    <t>23 33 37 43 45 46 29</t>
  </si>
  <si>
    <t>T7, 02/09/2023</t>
  </si>
  <si>
    <t>12 15 32 44 46 51 48</t>
  </si>
  <si>
    <t>T3, 05/09/2023</t>
  </si>
  <si>
    <t>02 06 19 29 34 48 39</t>
  </si>
  <si>
    <t>T5, 07/09/2023</t>
  </si>
  <si>
    <t>01 04 36 42 45 54 32</t>
  </si>
  <si>
    <t>T7, 09/09/2023</t>
  </si>
  <si>
    <t>13 20 32 37 43 49 40</t>
  </si>
  <si>
    <t>T3, 12/09/2023</t>
  </si>
  <si>
    <t>26 31 32 39 45 55 28</t>
  </si>
  <si>
    <t>T5, 14/09/2023</t>
  </si>
  <si>
    <t>06 10 20 22 50 52 34</t>
  </si>
  <si>
    <t>T7, 16/09/2023</t>
  </si>
  <si>
    <t>25 27 42 51 54 55 45</t>
  </si>
  <si>
    <t>T3, 19/09/2023</t>
  </si>
  <si>
    <t>17 29 35 40 51 52 23</t>
  </si>
  <si>
    <t>T5, 21/09/2023</t>
  </si>
  <si>
    <t>16 26 33 34 41 43 53</t>
  </si>
  <si>
    <t>T7, 23/09/2023</t>
  </si>
  <si>
    <t>20 27 36 43 45 47 35</t>
  </si>
  <si>
    <t>T3, 26/09/2023</t>
  </si>
  <si>
    <t>14 20 24 27 41 44 23</t>
  </si>
  <si>
    <t>T5, 28/09/2023</t>
  </si>
  <si>
    <t>04 23 36 45 47 50 22</t>
  </si>
  <si>
    <t>T7, 30/09/2023</t>
  </si>
  <si>
    <t>03 13 19 30 38 44 51</t>
  </si>
  <si>
    <t>T3, 03/10/2023</t>
  </si>
  <si>
    <t>03 15 27 29 37 48 55</t>
  </si>
  <si>
    <t>T5, 05/10/2023</t>
  </si>
  <si>
    <t>01 21 33 46 47 53 09</t>
  </si>
  <si>
    <t>T7, 07/10/2023</t>
  </si>
  <si>
    <t>04 13 36 40 43 52 34</t>
  </si>
  <si>
    <t>T3, 10/10/2023</t>
  </si>
  <si>
    <t>06 23 26 37 44 46 33</t>
  </si>
  <si>
    <t>T5, 12/10/2023</t>
  </si>
  <si>
    <t>05 08 09 20 36 50 35</t>
  </si>
  <si>
    <t>T7, 14/10/2023</t>
  </si>
  <si>
    <t>08 23 30 34 38 47 10</t>
  </si>
  <si>
    <t>T3, 17/10/2023</t>
  </si>
  <si>
    <t>13 22 33 41 46 47 09</t>
  </si>
  <si>
    <t>T5, 19/10/2023</t>
  </si>
  <si>
    <t>01 23 29 37 51 55 54</t>
  </si>
  <si>
    <t>T7, 21/10/2023</t>
  </si>
  <si>
    <t>11 16 24 34 47 52 15</t>
  </si>
  <si>
    <t>T3, 24/10/2023</t>
  </si>
  <si>
    <t>12 20 26 33 40 44 24</t>
  </si>
  <si>
    <t>T5, 26/10/2023</t>
  </si>
  <si>
    <t>14 22 32 37 43 48 42</t>
  </si>
  <si>
    <t>T7, 28/10/2023</t>
  </si>
  <si>
    <t>11 14 25 44 46 47 10</t>
  </si>
  <si>
    <t>T3, 31/10/2023</t>
  </si>
  <si>
    <t>10 16 17 28 37 42 43</t>
  </si>
  <si>
    <t>T5, 02/11/2023</t>
  </si>
  <si>
    <t>09 15 17 21 26 36 13</t>
  </si>
  <si>
    <t>T7, 04/11/2023</t>
  </si>
  <si>
    <t>14 35 37 47 48 50 43</t>
  </si>
  <si>
    <t>T3, 07/11/2023</t>
  </si>
  <si>
    <t>12 18 20 28 35 52 25</t>
  </si>
  <si>
    <t>T5, 09/11/2023</t>
  </si>
  <si>
    <t>08 17 24 34 39 48 44</t>
  </si>
  <si>
    <t>T7, 11/11/2023</t>
  </si>
  <si>
    <t>02 03 04 19 41 42 23</t>
  </si>
  <si>
    <t>T3, 14/11/2023</t>
  </si>
  <si>
    <t>04 09 12 15 22 38 40</t>
  </si>
  <si>
    <t>T5, 16/11/2023</t>
  </si>
  <si>
    <t>03 05 10 18 44 49 28</t>
  </si>
  <si>
    <t>T7, 18/11/2023</t>
  </si>
  <si>
    <t>01 07 10 14 28 29 02</t>
  </si>
  <si>
    <t>T3, 21/11/2023</t>
  </si>
  <si>
    <t>03 07 16 37 39 51 09</t>
  </si>
  <si>
    <t>T5, 23/11/2023</t>
  </si>
  <si>
    <t>04 06 26 33 52 55 15</t>
  </si>
  <si>
    <t>T7, 25/11/2023</t>
  </si>
  <si>
    <t>07 09 10 17 25 53 49</t>
  </si>
  <si>
    <t>T3, 28/11/2023</t>
  </si>
  <si>
    <t>10 24 47 48 52 55 28</t>
  </si>
  <si>
    <t>T5, 30/11/2023</t>
  </si>
  <si>
    <t>09 13 21 28 50 54 51</t>
  </si>
  <si>
    <t>T7, 02/12/2023</t>
  </si>
  <si>
    <t>01 10 20 37 48 51 54</t>
  </si>
  <si>
    <t>T3, 05/12/2023</t>
  </si>
  <si>
    <t>02 04 19 32 35 39 49</t>
  </si>
  <si>
    <t>T5, 07/12/2023</t>
  </si>
  <si>
    <t>09 13 28 33 50 53 47</t>
  </si>
  <si>
    <t>T7, 09/12/2023</t>
  </si>
  <si>
    <t>06 09 26 27 34 47 41</t>
  </si>
  <si>
    <t>T3, 12/12/2023</t>
  </si>
  <si>
    <t>06 07 16 21 34 50 31</t>
  </si>
  <si>
    <t>T5, 14/12/2023</t>
  </si>
  <si>
    <t>01 12 23 43 48 52 30</t>
  </si>
  <si>
    <t>T7, 16/12/2023</t>
  </si>
  <si>
    <t>13 15 21 26 34 35 45</t>
  </si>
  <si>
    <t>T3, 19/12/2023</t>
  </si>
  <si>
    <t>11 14 15 24 34 53 18</t>
  </si>
  <si>
    <t>T5, 21/12/2023</t>
  </si>
  <si>
    <t>09 31 39 41 47 48 03</t>
  </si>
  <si>
    <t>T7, 23/12/2023</t>
  </si>
  <si>
    <t>22 32 39 46 48 49 43</t>
  </si>
  <si>
    <t>T3, 26/12/2023</t>
  </si>
  <si>
    <t>10 14 17 27 29 40 25</t>
  </si>
  <si>
    <t>T5, 28/12/2023</t>
  </si>
  <si>
    <t>20 28 30 40 45 52 32</t>
  </si>
  <si>
    <t>T7, 30/12/2023</t>
  </si>
  <si>
    <t>09 17 29 32 38 52 02</t>
  </si>
  <si>
    <t>T3, 02/01/2024</t>
  </si>
  <si>
    <t>02 05 18 31 37 45 20</t>
  </si>
  <si>
    <t>T5, 04/01/2024</t>
  </si>
  <si>
    <t>07 34 37 43 52 54 28</t>
  </si>
  <si>
    <t>T7, 06/01/2024</t>
  </si>
  <si>
    <t>15 17 21 24 34 46 11</t>
  </si>
  <si>
    <t>T3, 09/01/2024</t>
  </si>
  <si>
    <t>16 32 45 50 52 53 54</t>
  </si>
  <si>
    <t>T5, 11/01/2024</t>
  </si>
  <si>
    <t>02 23 32 44 51 52 28</t>
  </si>
  <si>
    <t>T7, 13/01/2024</t>
  </si>
  <si>
    <t>01 05 07 23 35 42 21</t>
  </si>
  <si>
    <t>T3, 16/01/2024</t>
  </si>
  <si>
    <t>09 14 18 20 27 43 42</t>
  </si>
  <si>
    <t>T5, 18/01/2024</t>
  </si>
  <si>
    <t>12 20 33 38 40 52 35</t>
  </si>
  <si>
    <t>T7, 20/01/2024</t>
  </si>
  <si>
    <t>06 25 29 34 49 54 38</t>
  </si>
  <si>
    <t>T3, 23/01/2024</t>
  </si>
  <si>
    <t>13 27 32 48 49 51 23</t>
  </si>
  <si>
    <t>T5, 25/01/2024</t>
  </si>
  <si>
    <t>13 17 35 38 42 48 07</t>
  </si>
  <si>
    <t>T7, 27/01/2024</t>
  </si>
  <si>
    <t>06 12 38 41 46 55 13</t>
  </si>
  <si>
    <t>T3, 30/01/2024</t>
  </si>
  <si>
    <t>03 10 13 40 49 52 09</t>
  </si>
  <si>
    <t>T5, 01/02/2024</t>
  </si>
  <si>
    <t>02 07 10 22 32 40 39</t>
  </si>
  <si>
    <t>T7, 03/02/2024</t>
  </si>
  <si>
    <t>04 06 07 13 18 26 49</t>
  </si>
  <si>
    <t>T3, 06/02/2024</t>
  </si>
  <si>
    <t>08 19 27 34 46 51 24</t>
  </si>
  <si>
    <t>T5, 08/02/2024</t>
  </si>
  <si>
    <t>22 31 35 36 38 42 11</t>
  </si>
  <si>
    <t>T3, 13/02/2024</t>
  </si>
  <si>
    <t>08 17 22 31 34 49 18</t>
  </si>
  <si>
    <t>T5, 15/02/2024</t>
  </si>
  <si>
    <t>03 07 08 18 21 26 19</t>
  </si>
  <si>
    <t>T7, 17/02/2024</t>
  </si>
  <si>
    <t>08 12 17 27 38 55 47</t>
  </si>
  <si>
    <t>T3, 20/02/2024</t>
  </si>
  <si>
    <t>34 46 50 51 52 55 05</t>
  </si>
  <si>
    <t>T5, 22/02/2024</t>
  </si>
  <si>
    <t>08 19 24 31 35 55 01</t>
  </si>
  <si>
    <t>T7, 24/02/2024</t>
  </si>
  <si>
    <t>01 03 22 27 38 40 26</t>
  </si>
  <si>
    <t>T3, 27/02/2024</t>
  </si>
  <si>
    <t>01 04 06 08 24 35 53</t>
  </si>
  <si>
    <t>T5, 29/02/2024</t>
  </si>
  <si>
    <t>04 11 20 38 52 53 33</t>
  </si>
  <si>
    <t>T7, 02/03/2024</t>
  </si>
  <si>
    <t>01 19 21 31 50 55 37</t>
  </si>
  <si>
    <t>T3, 05/03/2024</t>
  </si>
  <si>
    <t>12 19 21 23 28 54 31</t>
  </si>
  <si>
    <t>T5, 07/03/2024</t>
  </si>
  <si>
    <t>13 20 33 47 53 54 19</t>
  </si>
  <si>
    <t>T7, 09/03/2024</t>
  </si>
  <si>
    <t>11 13 22 36 46 49 37</t>
  </si>
  <si>
    <t>T3, 12/03/2024</t>
  </si>
  <si>
    <t>11 14 18 20 22 43 16</t>
  </si>
  <si>
    <t>T5, 14/03/2024</t>
  </si>
  <si>
    <t>21 25 26 29 41 51 39</t>
  </si>
  <si>
    <t>T7, 16/03/2024</t>
  </si>
  <si>
    <t>08 36 42 43 44 55 54</t>
  </si>
  <si>
    <t>T3, 19/03/2024</t>
  </si>
  <si>
    <t>06 25 39 45 46 55 26</t>
  </si>
  <si>
    <t>T5, 21/03/2024</t>
  </si>
  <si>
    <t>12 13 41 48 49 53 43</t>
  </si>
  <si>
    <t>T7, 23/03/2024</t>
  </si>
  <si>
    <t>03 10 13 30 40 52 04</t>
  </si>
  <si>
    <t>T3, 26/03/2024</t>
  </si>
  <si>
    <t>01 08 13 16 38 44 47</t>
  </si>
  <si>
    <t>T5, 28/03/2024</t>
  </si>
  <si>
    <t>01 07 18 26 38 49 21</t>
  </si>
  <si>
    <t>T7, 30/03/2024</t>
  </si>
  <si>
    <t>14 17 27 38 54 55 23</t>
  </si>
  <si>
    <t>T3, 02/04/2024</t>
  </si>
  <si>
    <t>01 12 18 20 51 52 37</t>
  </si>
  <si>
    <t>T5, 04/04/2024</t>
  </si>
  <si>
    <t>03 08 12 25 47 48 15</t>
  </si>
  <si>
    <t>T7, 06/04/2024</t>
  </si>
  <si>
    <t>09 13 20 30 39 54 23</t>
  </si>
  <si>
    <t>T3, 09/04/2024</t>
  </si>
  <si>
    <t>04 12 27 44 46 51 22</t>
  </si>
  <si>
    <t>T5, 11/04/2024</t>
  </si>
  <si>
    <t>03 06 15 25 33 43 55</t>
  </si>
  <si>
    <t>T7, 13/04/2024</t>
  </si>
  <si>
    <t>29 36 37 38 40 42 46</t>
  </si>
  <si>
    <t>T3, 16/04/2024</t>
  </si>
  <si>
    <t>03 05 32 40 46 50 37</t>
  </si>
  <si>
    <t>T5, 18/04/2024</t>
  </si>
  <si>
    <t>01 21 23 33 43 54 28</t>
  </si>
  <si>
    <t>T7, 20/04/2024</t>
  </si>
  <si>
    <t>02 06 35 43 45 47 14</t>
  </si>
  <si>
    <t>T3, 23/04/2024</t>
  </si>
  <si>
    <t>01 34 39 40 49 53 09</t>
  </si>
  <si>
    <t>T5, 25/04/2024</t>
  </si>
  <si>
    <t>13 19 27 38 41 54 46</t>
  </si>
  <si>
    <t>T7, 27/04/2024</t>
  </si>
  <si>
    <t>07 12 38 43 48 55 08</t>
  </si>
  <si>
    <t>T3, 30/04/2024</t>
  </si>
  <si>
    <t>13 16 26 46 49 54 08</t>
  </si>
  <si>
    <t>T5, 02/05/2024</t>
  </si>
  <si>
    <t>30 32 33 36 42 48 18</t>
  </si>
  <si>
    <t>T7, 04/05/2024</t>
  </si>
  <si>
    <t>05 27 35 45 49 55 18</t>
  </si>
  <si>
    <t>T3, 07/05/2024</t>
  </si>
  <si>
    <t>21 26 35 41 44 52 13</t>
  </si>
  <si>
    <t>T5, 09/05/2024</t>
  </si>
  <si>
    <t>03 16 21 36 37 40 31</t>
  </si>
  <si>
    <t>T7, 11/05/2024</t>
  </si>
  <si>
    <t>19 23 25 43 46 54 42</t>
  </si>
  <si>
    <t>T3, 14/05/2024</t>
  </si>
  <si>
    <t>05 17 36 40 46 50 01</t>
  </si>
  <si>
    <t>T5, 16/05/2024</t>
  </si>
  <si>
    <t>20 25 27 39 45 55 44</t>
  </si>
  <si>
    <t>T7, 18/05/2024</t>
  </si>
  <si>
    <t>12 18 20 25 27 52 44</t>
  </si>
  <si>
    <t>T3, 21/05/2024</t>
  </si>
  <si>
    <t>01 02 14 32 33 41 04</t>
  </si>
  <si>
    <t>T5, 23/05/2024</t>
  </si>
  <si>
    <t>08 12 42 47 51 52 36</t>
  </si>
  <si>
    <t>T7, 25/05/2024</t>
  </si>
  <si>
    <t>15 22 38 39 43 53 20</t>
  </si>
  <si>
    <t>T3, 28/05/2024</t>
  </si>
  <si>
    <t>01 25 29 37 40 54 50</t>
  </si>
  <si>
    <t>T5, 30/05/2024</t>
  </si>
  <si>
    <t>04 07 08 12 23 31 45</t>
  </si>
  <si>
    <t>T7, 01/06/2024</t>
  </si>
  <si>
    <t>06 24 30 31 47 49 01</t>
  </si>
  <si>
    <t>T3, 04/06/2024</t>
  </si>
  <si>
    <t>01 02 07 10 13 19 24</t>
  </si>
  <si>
    <t>T5, 06/06/2024</t>
  </si>
  <si>
    <t>18 26 38 39 47 51 55</t>
  </si>
  <si>
    <t>T7, 08/06/2024</t>
  </si>
  <si>
    <t>13 16 32 33 35 43 42</t>
  </si>
  <si>
    <t>T3, 11/06/2024</t>
  </si>
  <si>
    <t>13 16 21 30 32 39 53</t>
  </si>
  <si>
    <t>T5, 13/06/2024</t>
  </si>
  <si>
    <t>08 39 45 47 49 51 16</t>
  </si>
  <si>
    <t>T7, 15/06/2024</t>
  </si>
  <si>
    <t>05 10 14 20 26 51 36</t>
  </si>
  <si>
    <t>T3, 18/06/2024</t>
  </si>
  <si>
    <t>20 23 27 36 38 44 52</t>
  </si>
  <si>
    <t>T5, 20/06/2024</t>
  </si>
  <si>
    <t>01 10 29 34 43 55 49</t>
  </si>
  <si>
    <t>T7, 22/06/2024</t>
  </si>
  <si>
    <t>17 25 31 35 41 42 36</t>
  </si>
  <si>
    <t>T3, 25/06/2024</t>
  </si>
  <si>
    <t>01 05 09 13 18 27 08</t>
  </si>
  <si>
    <t>T5, 27/06/2024</t>
  </si>
  <si>
    <t>07 21 22 41 43 46 32</t>
  </si>
  <si>
    <t>T7, 29/06/2024</t>
  </si>
  <si>
    <t>11 15 32 34 46 48 47</t>
  </si>
  <si>
    <t>T3, 02/07/2024</t>
  </si>
  <si>
    <t>07 08 50 52 53 54 02</t>
  </si>
  <si>
    <t>T5, 04/07/2024</t>
  </si>
  <si>
    <t>10 19 20 29 34 41 08</t>
  </si>
  <si>
    <t>T7, 06/07/2024</t>
  </si>
  <si>
    <t>08 10 12 22 25 55 52</t>
  </si>
  <si>
    <t>T3, 09/07/2024</t>
  </si>
  <si>
    <t>06 08 09 28 33 53 10</t>
  </si>
  <si>
    <t>T5, 11/07/2024</t>
  </si>
  <si>
    <t>01 02 11 21 22 23 26</t>
  </si>
  <si>
    <t>T7, 13/07/2024</t>
  </si>
  <si>
    <t>02 12 13 33 44 52 34</t>
  </si>
  <si>
    <t>T3, 16/07/2024</t>
  </si>
  <si>
    <t>20 31 34 36 47 52 02</t>
  </si>
  <si>
    <t>T5, 18/07/2024</t>
  </si>
  <si>
    <t>10 13 28 35 40 42 02</t>
  </si>
  <si>
    <t>T7, 20/07/2024</t>
  </si>
  <si>
    <t>12 18 32 40 51 53 28</t>
  </si>
  <si>
    <t>T3, 23/07/2024</t>
  </si>
  <si>
    <t>34 39 40 42 54 55 30</t>
  </si>
  <si>
    <t>T5, 25/07/2024</t>
  </si>
  <si>
    <t>12 17 21 25 33 40 39</t>
  </si>
  <si>
    <t>T7, 27/07/2024</t>
  </si>
  <si>
    <t>18 23 25 37 39 40 35</t>
  </si>
  <si>
    <t>T3, 30/07/2024</t>
  </si>
  <si>
    <t>02 06 22 23 38 51 32</t>
  </si>
  <si>
    <t>T5, 01/08/2024</t>
  </si>
  <si>
    <t>09 17 21 48 53 55 29</t>
  </si>
  <si>
    <t>T7, 03/08/2024</t>
  </si>
  <si>
    <t>07 20 34 36 41 46 16</t>
  </si>
  <si>
    <t>T3, 06/08/2024</t>
  </si>
  <si>
    <t>22 34 44 46 54 55 14</t>
  </si>
  <si>
    <t>T5, 08/08/2024</t>
  </si>
  <si>
    <t>01 07 42 43 48 51 29</t>
  </si>
  <si>
    <t>T7, 10/08/2024</t>
  </si>
  <si>
    <t>10 23 32 37 48 55 14</t>
  </si>
  <si>
    <t>T3, 13/08/2024</t>
  </si>
  <si>
    <t>09 26 40 44 45 50 27</t>
  </si>
  <si>
    <t>T5, 15/08/2024</t>
  </si>
  <si>
    <t>08 16 20 30 34 43 46</t>
  </si>
  <si>
    <t>T7, 17/08/2024</t>
  </si>
  <si>
    <t>04 28 35 38 39 45 05</t>
  </si>
  <si>
    <t>T3, 20/08/2024</t>
  </si>
  <si>
    <t>05 24 26 27 29 54 06</t>
  </si>
  <si>
    <t>T5, 22/08/2024</t>
  </si>
  <si>
    <t>11 18 20 32 41 46 33</t>
  </si>
  <si>
    <t>T7, 24/08/2024</t>
  </si>
  <si>
    <t>02 17 20 21 22 23 38</t>
  </si>
  <si>
    <t>T3, 27/08/2024</t>
  </si>
  <si>
    <t>05 06 29 31 37 48 02</t>
  </si>
  <si>
    <t>T5, 29/08/2024</t>
  </si>
  <si>
    <t>08 11 21 29 38 55 12</t>
  </si>
  <si>
    <t>T7, 31/08/2024</t>
  </si>
  <si>
    <t>24 33 38 40 42 51 28</t>
  </si>
  <si>
    <t>T3, 03/09/2024</t>
  </si>
  <si>
    <t>08 10 11 14 38 48 41</t>
  </si>
  <si>
    <t>T5, 05/09/2024</t>
  </si>
  <si>
    <t>15 20 23 29 34 46 01</t>
  </si>
  <si>
    <t>T7, 07/09/2024</t>
  </si>
  <si>
    <t>05 11 20 39 46 53 37</t>
  </si>
  <si>
    <t>T3, 10/09/2024</t>
  </si>
  <si>
    <t>15 23 37 38 45 49 30</t>
  </si>
  <si>
    <t>T5, 12/09/2024</t>
  </si>
  <si>
    <t>03 08 31 36 39 47 38</t>
  </si>
  <si>
    <t>T7, 14/09/2024</t>
  </si>
  <si>
    <t>02 12 25 32 51 54 34</t>
  </si>
  <si>
    <t>T3, 17/09/2024</t>
  </si>
  <si>
    <t>14 32 34 41 47 54 48</t>
  </si>
  <si>
    <t>T5, 19/09/2024</t>
  </si>
  <si>
    <t>04 09 22 24 45 54 48</t>
  </si>
  <si>
    <t>T7, 21/09/2024</t>
  </si>
  <si>
    <t>03 08 09 22 26 55 11</t>
  </si>
  <si>
    <t>T3, 24/09/2024</t>
  </si>
  <si>
    <t>01 06 11 17 24 31 43</t>
  </si>
  <si>
    <t>T5, 26/09/2024</t>
  </si>
  <si>
    <t>03 18 29 39 41 49 46</t>
  </si>
  <si>
    <t>T7, 28/09/2024</t>
  </si>
  <si>
    <t>02 11 13 32 41 48 15</t>
  </si>
  <si>
    <t>T3, 01/10/2024</t>
  </si>
  <si>
    <t>03 18 22 41 43 44 12</t>
  </si>
  <si>
    <t>T5, 03/10/2024</t>
  </si>
  <si>
    <t>18 21 34 40 42 53 25</t>
  </si>
  <si>
    <t>T7, 05/10/2024</t>
  </si>
  <si>
    <t>02 10 17 27 50 52 18</t>
  </si>
  <si>
    <t>T3, 08/10/2024</t>
  </si>
  <si>
    <t>03 07 14 17 48 50 40</t>
  </si>
  <si>
    <t>T5, 10/10/2024</t>
  </si>
  <si>
    <t>04 05 06 29 32 44 53</t>
  </si>
  <si>
    <t>T7, 12/10/2024</t>
  </si>
  <si>
    <t>29 34 35 38 50 51 37</t>
  </si>
  <si>
    <t>T3, 15/10/2024</t>
  </si>
  <si>
    <t>04 25 41 42 46 52 33</t>
  </si>
  <si>
    <t>T5, 17/10/2024</t>
  </si>
  <si>
    <t>11 14 15 26 38 41 25</t>
  </si>
  <si>
    <t>T7, 19/10/2024</t>
  </si>
  <si>
    <t>09 22 31 39 43 51 19</t>
  </si>
  <si>
    <t>T3, 22/10/2024</t>
  </si>
  <si>
    <t>15 21 23 26 31 43 35</t>
  </si>
  <si>
    <t>T5, 24/10/2024</t>
  </si>
  <si>
    <t>05 17 31 39 46 53 03</t>
  </si>
  <si>
    <t>T7, 26/10/2024</t>
  </si>
  <si>
    <t>05 19 27 29 42 47 40</t>
  </si>
  <si>
    <t>T3, 29/10/2024</t>
  </si>
  <si>
    <t>14 17 19 28 47 51 55</t>
  </si>
  <si>
    <t>T5, 31/10/2024</t>
  </si>
  <si>
    <t>05 16 20 29 30 31 39</t>
  </si>
  <si>
    <t>T7, 02/11/2024</t>
  </si>
  <si>
    <t>02 09 19 20 34 54 26</t>
  </si>
  <si>
    <t>T3, 05/11/2024</t>
  </si>
  <si>
    <t>09 31 36 46 49 54 07</t>
  </si>
  <si>
    <t>T5, 07/11/2024</t>
  </si>
  <si>
    <t>06 09 33 39 50 51 43</t>
  </si>
  <si>
    <t>T7, 09/11/2024</t>
  </si>
  <si>
    <t>11 14 24 26 34 51 40</t>
  </si>
  <si>
    <t>T3, 12/11/2024</t>
  </si>
  <si>
    <t>01 21 29 35 41 45 20</t>
  </si>
  <si>
    <t>T5, 14/11/2024</t>
  </si>
  <si>
    <t>12 25 37 40 49 52 31</t>
  </si>
  <si>
    <t>T7, 16/11/2024</t>
  </si>
  <si>
    <t>16 22 33 37 39 51 54</t>
  </si>
  <si>
    <t>T3, 19/11/2024</t>
  </si>
  <si>
    <t>06 10 17 34 41 48 31</t>
  </si>
  <si>
    <t>T5, 21/11/2024</t>
  </si>
  <si>
    <t>15 22 31 40 42 51 26</t>
  </si>
  <si>
    <t>T7, 23/11/2024</t>
  </si>
  <si>
    <t>04 12 25 39 48 51 45</t>
  </si>
  <si>
    <t>T3, 26/11/2024</t>
  </si>
  <si>
    <t>08 11 16 32 40 43 12</t>
  </si>
  <si>
    <t>T5, 28/11/2024</t>
  </si>
  <si>
    <t>01 16 24 28 38 53 09</t>
  </si>
  <si>
    <t>T7, 30/11/2024</t>
  </si>
  <si>
    <t>01 20 24 26 38 41 36</t>
  </si>
  <si>
    <t>T3, 03/12/2024</t>
  </si>
  <si>
    <t>10 19 33 39 47 54 16</t>
  </si>
  <si>
    <t>T5, 05/12/2024</t>
  </si>
  <si>
    <t>16 21 29 41 42 47 09</t>
  </si>
  <si>
    <t>T7, 07/12/2024</t>
  </si>
  <si>
    <t>16 17 22 24 29 37 54</t>
  </si>
  <si>
    <t>T3, 10/12/2024</t>
  </si>
  <si>
    <t>11 15 26 45 52 55 36</t>
  </si>
  <si>
    <t>T5, 12/12/2024</t>
  </si>
  <si>
    <t>01 09 12 18 37 44 11</t>
  </si>
  <si>
    <t>T7, 14/12/2024</t>
  </si>
  <si>
    <t>03 10 19 20 21 24 07</t>
  </si>
  <si>
    <t>T3, 17/12/2024</t>
  </si>
  <si>
    <t>02 14 27 30 53 54 16</t>
  </si>
  <si>
    <t>T5, 19/12/2024</t>
  </si>
  <si>
    <t>13 16 32 39 49 51 11</t>
  </si>
  <si>
    <t>T7, 21/12/2024</t>
  </si>
  <si>
    <t>04 16 29 30 35 51 48</t>
  </si>
  <si>
    <t>T3, 24/12/2024</t>
  </si>
  <si>
    <t>17 20 27 32 44 51 33</t>
  </si>
  <si>
    <t>T5, 26/12/2024</t>
  </si>
  <si>
    <t>06 18 33 38 41 48 16</t>
  </si>
  <si>
    <t>T7, 28/12/2024</t>
  </si>
  <si>
    <t>06 19 36 42 53 55 39</t>
  </si>
  <si>
    <t>T3, 31/12/2024</t>
  </si>
  <si>
    <t>08 13 29 36 42 43 28</t>
  </si>
  <si>
    <t>T5, 02/01/2025</t>
  </si>
  <si>
    <t>04 10 18 22 41 45 50</t>
  </si>
  <si>
    <t>T7, 04/01/2025</t>
  </si>
  <si>
    <t>04 10 30 36 40 53 51</t>
  </si>
  <si>
    <t>T3, 07/01/2025</t>
  </si>
  <si>
    <t>04 05 09 16 22 39 30</t>
  </si>
  <si>
    <t>T5, 09/01/2025</t>
  </si>
  <si>
    <t>18 21 31 39 50 53 13</t>
  </si>
  <si>
    <t>T7, 11/01/2025</t>
  </si>
  <si>
    <t>10 25 26 29 37 46 14</t>
  </si>
  <si>
    <t>T3, 14/01/2025</t>
  </si>
  <si>
    <t>03 11 12 24 33 40 46</t>
  </si>
  <si>
    <t>T5, 16/01/2025</t>
  </si>
  <si>
    <t>08 16 34 37 47 50 23</t>
  </si>
  <si>
    <t>T7, 18/01/2025</t>
  </si>
  <si>
    <t>01 03 26 31 37 41 51</t>
  </si>
  <si>
    <t>T3, 21/01/2025</t>
  </si>
  <si>
    <t>11 18 22 28 51 52 53</t>
  </si>
  <si>
    <t>T5, 23/01/2025</t>
  </si>
  <si>
    <t>11 18 22 49 50 51 37</t>
  </si>
  <si>
    <t>T7, 25/01/2025</t>
  </si>
  <si>
    <t>14 21 40 42 48 51 19</t>
  </si>
  <si>
    <t>T5, 30/01/2025</t>
  </si>
  <si>
    <t>05 08 24 28 34 52 39</t>
  </si>
  <si>
    <t>T7, 01/02/2025</t>
  </si>
  <si>
    <t>01 20 34 38 45 47 49</t>
  </si>
  <si>
    <t>T3, 04/02/2025</t>
  </si>
  <si>
    <t>07 17 29 51 52 55 41</t>
  </si>
  <si>
    <t>T5, 06/02/2025</t>
  </si>
  <si>
    <t>01 11 31 43 48 54 19</t>
  </si>
  <si>
    <t>T7, 08/02/2025</t>
  </si>
  <si>
    <t>11 22 28 44 48 49 23</t>
  </si>
  <si>
    <t>T3, 11/02/2025</t>
  </si>
  <si>
    <t>01 09 18 21 35 40 44</t>
  </si>
  <si>
    <t>T5, 13/02/2025</t>
  </si>
  <si>
    <t>02 08 23 26 42 47 07</t>
  </si>
  <si>
    <t>T7, 15/02/2025</t>
  </si>
  <si>
    <t>22 37 38 47 51 55 31</t>
  </si>
  <si>
    <t>T3, 18/02/2025</t>
  </si>
  <si>
    <t>12 13 30 38 40 47 42</t>
  </si>
  <si>
    <t>T5, 20/02/2025</t>
  </si>
  <si>
    <t>13 17 20 27 36 54 47</t>
  </si>
  <si>
    <t>T7, 22/02/2025</t>
  </si>
  <si>
    <t>01 02 07 22 23 46 50</t>
  </si>
  <si>
    <t>T3, 25/02/2025</t>
  </si>
  <si>
    <t>01 07 11 24 29 30 48</t>
  </si>
  <si>
    <t>T5, 27/02/2025</t>
  </si>
  <si>
    <t>05 09 21 31 43 53 11</t>
  </si>
  <si>
    <t>T7, 01/03/2025</t>
  </si>
  <si>
    <t>15 17 34 37 39 45 41</t>
  </si>
  <si>
    <t>T3, 04/03/2025</t>
  </si>
  <si>
    <t>05 14 27 43 45 53 47</t>
  </si>
  <si>
    <t>T5, 06/03/2025</t>
  </si>
  <si>
    <t>05 10 21 26 43 51 15</t>
  </si>
  <si>
    <t>T7, 08/03/2025</t>
  </si>
  <si>
    <t>10 38 41 43 45 48 08</t>
  </si>
  <si>
    <t>T3, 11/03/2025</t>
  </si>
  <si>
    <t>01 16 18 30 31 44 34</t>
  </si>
  <si>
    <t>T5, 13/03/2025</t>
  </si>
  <si>
    <t>07 13 21 43 52 53 17</t>
  </si>
  <si>
    <t>T7, 15/03/2025</t>
  </si>
  <si>
    <t>01 34 39 40 42 50 25</t>
  </si>
  <si>
    <t>T3, 18/03/2025</t>
  </si>
  <si>
    <t>02 08 29 30 50 55 27</t>
  </si>
  <si>
    <t>T5, 20/03/2025</t>
  </si>
  <si>
    <t>11 13 24 28 36 41 37</t>
  </si>
  <si>
    <t>T7, 22/03/2025</t>
  </si>
  <si>
    <t>02 23 42 50 52 54 44</t>
  </si>
  <si>
    <t>T3, 25/03/2025</t>
  </si>
  <si>
    <t>14 23 29 30 35 40 17</t>
  </si>
  <si>
    <t>T5, 27/03/2025</t>
  </si>
  <si>
    <t>13 25 32 36 41 53 29</t>
  </si>
  <si>
    <t>T7, 29/03/2025</t>
  </si>
  <si>
    <t>14 19 21 24 26 48 39</t>
  </si>
  <si>
    <t>T3, 01/04/2025</t>
  </si>
  <si>
    <t>14 15 29 33 39 47 04</t>
  </si>
  <si>
    <t>T5, 03/04/2025</t>
  </si>
  <si>
    <t>24 26 34 42 50 51 30</t>
  </si>
  <si>
    <t>T7, 05/04/2025</t>
  </si>
  <si>
    <t>13 23 29 32 41 42 09</t>
  </si>
  <si>
    <t>T3, 08/04/2025</t>
  </si>
  <si>
    <t>03 07 34 41 43 53 31</t>
  </si>
  <si>
    <t>T5, 10/04/2025</t>
  </si>
  <si>
    <t>10 13 36 37 40 43 41</t>
  </si>
  <si>
    <t>T7, 12/04/2025</t>
  </si>
  <si>
    <t>03 14 19 37 42 55 23</t>
  </si>
  <si>
    <t>T3, 15/04/2025</t>
  </si>
  <si>
    <t>08 23 24 27 42 49 20</t>
  </si>
  <si>
    <t>T5, 17/04/2025</t>
  </si>
  <si>
    <t>01 17 20 38 41 52 14</t>
  </si>
  <si>
    <t>T7, 19/04/2025</t>
  </si>
  <si>
    <t>05 11 15 32 42 49 43</t>
  </si>
  <si>
    <t>T3, 22/04/2025</t>
  </si>
  <si>
    <t>10 25 37 40 41 48 32</t>
  </si>
  <si>
    <t>T5, 24/04/2025</t>
  </si>
  <si>
    <t>01 02 15 39 40 47 24</t>
  </si>
  <si>
    <t>T7, 26/04/2025</t>
  </si>
  <si>
    <t>03 15 16 31 48 52 21</t>
  </si>
  <si>
    <t>T3, 29/04/2025</t>
  </si>
  <si>
    <t>14 15 18 23 28 33 29</t>
  </si>
  <si>
    <t>T5, 01/05/2025</t>
  </si>
  <si>
    <t>03 17 19 41 45 50 43</t>
  </si>
  <si>
    <t>T7, 03/05/2025</t>
  </si>
  <si>
    <t>15 19 21 26 42 47 38</t>
  </si>
  <si>
    <t>T3, 06/05/2025</t>
  </si>
  <si>
    <t>12 16 25 28 30 39 05</t>
  </si>
  <si>
    <t>T5, 08/05/2025</t>
  </si>
  <si>
    <t>08 14 29 37 39 50 21</t>
  </si>
  <si>
    <t>T7, 10/05/2025</t>
  </si>
  <si>
    <t>07 16 19 28 34 51 15</t>
  </si>
  <si>
    <t>T3, 13/05/2025</t>
  </si>
  <si>
    <t>03 07 24 39 54 55 42</t>
  </si>
  <si>
    <t>T5, 15/05/2025</t>
  </si>
  <si>
    <t>06 09 13 44 49 54 47</t>
  </si>
  <si>
    <t>T7, 17/05/2025</t>
  </si>
  <si>
    <t>02 07 26 29 41 50 43</t>
  </si>
  <si>
    <t>T3, 20/05/2025</t>
  </si>
  <si>
    <t>19 27 44 45 47 52 15</t>
  </si>
  <si>
    <t>T5, 22/05/2025</t>
  </si>
  <si>
    <t>03 09 14 41 47 55 22</t>
  </si>
  <si>
    <t>T7, 24/05/2025</t>
  </si>
  <si>
    <t>19 20 27 30 45 55 15</t>
  </si>
  <si>
    <t>T3, 27/05/2025</t>
  </si>
  <si>
    <t>04 12 18 19 44 48 42</t>
  </si>
  <si>
    <t>T5, 29/05/2025</t>
  </si>
  <si>
    <t>09 37 42 45 46 50 14</t>
  </si>
  <si>
    <t>T7, 31/05/2025</t>
  </si>
  <si>
    <t>06 24 41 45 49 55 08</t>
  </si>
  <si>
    <t>T3, 03/06/2025</t>
  </si>
  <si>
    <t>02 11 14 16 27 38 51</t>
  </si>
  <si>
    <t>T5, 05/06/2025</t>
  </si>
  <si>
    <t>14 21 33 37 46 49 34</t>
  </si>
  <si>
    <t>T7, 07/06/2025</t>
  </si>
  <si>
    <t>12 17 21 46 48 52 45</t>
  </si>
  <si>
    <t>T3, 10/06/2025</t>
  </si>
  <si>
    <t>03 06 21 29 40 41 37</t>
  </si>
  <si>
    <t>T5, 12/06/2025</t>
  </si>
  <si>
    <t>06 08 16 18 34 44 17</t>
  </si>
  <si>
    <t>T7, 14/06/2025</t>
  </si>
  <si>
    <t>11 12 22 26 41 47 24</t>
  </si>
  <si>
    <t>T3, 17/06/2025</t>
  </si>
  <si>
    <t>07 13 18 22 32 44 43</t>
  </si>
  <si>
    <t>T5, 19/06/2025</t>
  </si>
  <si>
    <t>03 05 09 10 16 47 34</t>
  </si>
  <si>
    <t>T7, 21/06/2025</t>
  </si>
  <si>
    <t>06 10 15 43 44 53 32</t>
  </si>
  <si>
    <t>T3, 24/06/2025</t>
  </si>
  <si>
    <t>03 09 18 20 30 53 48</t>
  </si>
  <si>
    <t>T5, 26/06/2025</t>
  </si>
  <si>
    <t>01 14 16 27 40 51 02</t>
  </si>
  <si>
    <t>T7, 28/06/2025</t>
  </si>
  <si>
    <t>08 11 13 20 45 50 25</t>
  </si>
  <si>
    <t>T3, 01/07/2025</t>
  </si>
  <si>
    <t>03 11 12 14 27 33 15</t>
  </si>
  <si>
    <t>T5, 03/07/2025</t>
  </si>
  <si>
    <t>18 19 29 31 45 54 27</t>
  </si>
  <si>
    <t>T7, 05/07/2025</t>
  </si>
  <si>
    <t>03 15 22 45 51 55 54</t>
  </si>
  <si>
    <t>T3, 08/07/2025</t>
  </si>
  <si>
    <t>23 24 32 42 48 50 31</t>
  </si>
  <si>
    <t>T5, 10/07/2025</t>
  </si>
  <si>
    <t>12 33 34 42 44 53 03</t>
  </si>
  <si>
    <t>T7, 12/07/2025</t>
  </si>
  <si>
    <t>02 34 39 41 45 52 51</t>
  </si>
  <si>
    <t>T3, 15/07/2025</t>
  </si>
  <si>
    <t>18 26 31 32 36 48 30</t>
  </si>
  <si>
    <t>T5, 17/07/2025</t>
  </si>
  <si>
    <t>13 18 33 40 48 53 54</t>
  </si>
  <si>
    <t>T7, 19/07/2025</t>
  </si>
  <si>
    <t>08 09 20 36 39 44 28</t>
  </si>
  <si>
    <t>T3, 22/07/2025</t>
  </si>
  <si>
    <t>09 10 15 28 33 44 22</t>
  </si>
  <si>
    <t>T5, 24/07/2025</t>
  </si>
  <si>
    <t>05 10 24 29 30 34 45</t>
  </si>
  <si>
    <t>T7, 26/07/2025</t>
  </si>
  <si>
    <t>05 26 28 29 33 54 34</t>
  </si>
  <si>
    <t>T3, 29/07/2025</t>
  </si>
  <si>
    <t>04 08 23 43 45 51 48</t>
  </si>
  <si>
    <t>T5, 31/07/2025</t>
  </si>
  <si>
    <t>05 17 31 42 46 49 37</t>
  </si>
  <si>
    <t>T7, 02/08/2025</t>
  </si>
  <si>
    <t>12 24 29 33 34 35 47</t>
  </si>
  <si>
    <t>T3, 05/08/2025</t>
  </si>
  <si>
    <t>08 41 45 51 52 53 31</t>
  </si>
  <si>
    <t>T5, 07/08/2025</t>
  </si>
  <si>
    <t>06 24 31 32 39 48 52</t>
  </si>
  <si>
    <t>T7, 09/08/2025</t>
  </si>
  <si>
    <t>05 09 16 36 43 51 19</t>
  </si>
  <si>
    <t>T3, 12/08/2025</t>
  </si>
  <si>
    <t>01 06 24 37 40 55 10</t>
  </si>
  <si>
    <t>T5, 14/08/2025</t>
  </si>
  <si>
    <t>06 10 17 18 32 35 53</t>
  </si>
  <si>
    <t>T7, 16/08/2025</t>
  </si>
  <si>
    <t>14 23 32 36 47 48 05</t>
  </si>
  <si>
    <t>T3, 19/08/2025</t>
  </si>
  <si>
    <t>01 14 31 34 36 47 45</t>
  </si>
  <si>
    <t>T5, 21/08/2025</t>
  </si>
  <si>
    <t>05 09 17 35 40 41 44</t>
  </si>
  <si>
    <t>T7, 23/08/2025</t>
  </si>
  <si>
    <t>01 09 26 34 44 50 52</t>
  </si>
  <si>
    <t>T3, 26/08/2025</t>
  </si>
  <si>
    <t>22 30 38 44 48 55 05</t>
  </si>
  <si>
    <t>T5, 28/08/2025</t>
  </si>
  <si>
    <t>06 13 28 30 35 52 50</t>
  </si>
  <si>
    <t>T7, 30/08/2025</t>
  </si>
  <si>
    <t>02 17 19 24 30 44 34</t>
  </si>
  <si>
    <t>T3, 02/09/2025</t>
  </si>
  <si>
    <t>09 16 22 25 30 51 43</t>
  </si>
  <si>
    <t>T5, 04/09/2025</t>
  </si>
  <si>
    <t>09 19 23 42 49 53 40</t>
  </si>
  <si>
    <t>T7, 06/09/2025</t>
  </si>
  <si>
    <t>09 11 19 22 34 43 31</t>
  </si>
  <si>
    <t>T3, 09/09/2025</t>
  </si>
  <si>
    <t>16 20 21 31 40 52 02</t>
  </si>
  <si>
    <t>T5, 11/09/2025</t>
  </si>
  <si>
    <t>06 16 46 49 51 55 42</t>
  </si>
  <si>
    <t>T7, 13/09/2025</t>
  </si>
  <si>
    <t>02 07 15 18 24 27 45</t>
  </si>
  <si>
    <t>T3, 16/09/2025</t>
  </si>
  <si>
    <t>17 19 28 39 43 53 33</t>
  </si>
  <si>
    <t>T5, 18/09/2025</t>
  </si>
  <si>
    <t>02 03 08 27 38 55 20</t>
  </si>
  <si>
    <t>T7, 20/09/2025</t>
  </si>
  <si>
    <t>08 13 14 19 36 43 30</t>
  </si>
  <si>
    <t>T3, 23/09/2025</t>
  </si>
  <si>
    <t>08 18 19 34 41 46 38</t>
  </si>
  <si>
    <t>T5, 25/09/2025</t>
  </si>
  <si>
    <t>05 17 30 31 38 53 08</t>
  </si>
  <si>
    <t>T7, 27/09/2025</t>
  </si>
  <si>
    <t>08 13 19 24 39 46 01</t>
  </si>
  <si>
    <t>T3, 30/09/2025</t>
  </si>
  <si>
    <t>17 23 34 39 46 52 08</t>
  </si>
  <si>
    <t>T5, 02/10/2025</t>
  </si>
  <si>
    <t>01 02 20 24 27 42 43</t>
  </si>
  <si>
    <t>T7, 04/10/2025</t>
  </si>
  <si>
    <t>22 33 35 36 38 40 07</t>
  </si>
  <si>
    <t>T3, 07/10/2025</t>
  </si>
  <si>
    <t>19 22 35 37 43 45 29</t>
  </si>
  <si>
    <t>T5, 09/10/2025</t>
  </si>
  <si>
    <t>07 11 21 22 39 42 40</t>
  </si>
  <si>
    <t>T7, 11/10/2025</t>
  </si>
  <si>
    <t>03 07 26 43 44 46 25</t>
  </si>
  <si>
    <t>T3, 14/10/2025</t>
  </si>
  <si>
    <t>08 09 16 26 37 55 12</t>
  </si>
  <si>
    <t>T5, 16/10/2025</t>
  </si>
  <si>
    <t>14 15 24 26 27 45 36</t>
  </si>
  <si>
    <t>T7, 18/10/2025</t>
  </si>
  <si>
    <t>05 16 19 21 38 43 50</t>
  </si>
  <si>
    <t>T3, 21/10/2025</t>
  </si>
  <si>
    <t>03 11 12 14 22 40 41</t>
  </si>
  <si>
    <t>T5, 23/10/2025</t>
  </si>
  <si>
    <t>08 10 21 48 49 50 40</t>
  </si>
  <si>
    <t>T7, 25/10/2025</t>
  </si>
  <si>
    <t>03 05 11 13 24 27 45</t>
  </si>
  <si>
    <t>T3, 28/10/2025</t>
  </si>
  <si>
    <t>06 08 10 22 25 54 09</t>
  </si>
  <si>
    <t>T5, 30/10/2025</t>
  </si>
  <si>
    <t>20 23 35 41 47 55 37</t>
  </si>
  <si>
    <t>T7, 01/11/2025</t>
  </si>
  <si>
    <t>07 11 28 29 31 33 08</t>
  </si>
  <si>
    <t>T3, 04/11/2025</t>
  </si>
  <si>
    <t>15 27 29 31 36 43 38</t>
  </si>
  <si>
    <t>T5, 06/11/2025</t>
  </si>
  <si>
    <t>16 20 29 33 36 49 06</t>
  </si>
  <si>
    <t>T7, 08/11/2025</t>
  </si>
  <si>
    <t>14 16 19 22 27 44 18</t>
  </si>
  <si>
    <t>T3, 11/11/2025</t>
  </si>
  <si>
    <t>11 20 28 41 47 54 31</t>
  </si>
  <si>
    <t>T5, 13/11/2025</t>
  </si>
  <si>
    <t>01 15 30 38 40 43 13</t>
  </si>
  <si>
    <t>T7, 15/11/2025</t>
  </si>
  <si>
    <t>02 30 33 35 42 54 45</t>
  </si>
  <si>
    <t>T3, 18/11/2025</t>
  </si>
  <si>
    <t>07 12 18 22 30 49 05</t>
  </si>
  <si>
    <t>T5, 20/11/2025</t>
  </si>
  <si>
    <t>03 12 19 20 31 42 13</t>
  </si>
  <si>
    <t>T7, 22/11/2025</t>
  </si>
  <si>
    <t>08 10 19 29 34 46 14</t>
  </si>
  <si>
    <t>T3, 25/11/2025</t>
  </si>
  <si>
    <t>23 31 32 42 46 48 04</t>
  </si>
  <si>
    <t>T5, 27/11/2025</t>
  </si>
  <si>
    <t>04 05 10 11 28 35 38</t>
  </si>
  <si>
    <t>T7, 29/11/2025</t>
  </si>
  <si>
    <t>04 20 24 27 40 48 09</t>
  </si>
  <si>
    <t>T3, 02/12/2025</t>
  </si>
  <si>
    <t>16 20 24 36 51 54 10</t>
  </si>
  <si>
    <t>T5, 04/12/2025</t>
  </si>
  <si>
    <t>10 29 32 33 44 53 14</t>
  </si>
  <si>
    <t>T7, 06/12/2025</t>
  </si>
  <si>
    <t>12 26 34 37 50 52 15</t>
  </si>
  <si>
    <t>T3, 09/12/2025</t>
  </si>
  <si>
    <t>14 21 26 27 31 43 42</t>
  </si>
  <si>
    <t>T5, 11/12/2025</t>
  </si>
  <si>
    <t>09 13 21 45 48 55 38</t>
  </si>
  <si>
    <t>T7, 13/12/2025</t>
  </si>
  <si>
    <t>05 08 12 18 20 38 52</t>
  </si>
  <si>
    <t>T3, 16/12/2025</t>
  </si>
  <si>
    <t>07 36 37 38 52 55 46</t>
  </si>
  <si>
    <t>T5, 18/12/2025</t>
  </si>
  <si>
    <t>12 14 29 30 39 55 50</t>
  </si>
  <si>
    <t>T7, 20/12/2025</t>
  </si>
  <si>
    <t>22 32 33 35 40 41 23</t>
  </si>
  <si>
    <t>T3, 23/12/2025</t>
  </si>
  <si>
    <t>02 10 16 25 32 38 03</t>
  </si>
  <si>
    <t>T5, 25/12/2025</t>
  </si>
  <si>
    <t>04 06 32 37 40 48 38</t>
  </si>
  <si>
    <t>T7, 27/12/2025</t>
  </si>
  <si>
    <t>16 21 30 37 39 40 13</t>
  </si>
  <si>
    <t>T3, 30/12/2025</t>
  </si>
  <si>
    <t>11 30 35 41 48 55 38</t>
  </si>
  <si>
    <t>T5, 01/01/2026</t>
  </si>
  <si>
    <t>05 16 29 33 39 42 54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</si>
</sst>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yy"/>
    <numFmt numFmtId="165" formatCode="dd-mm-yyyy"/>
    <numFmt numFmtId="166" formatCode="d&quot;-&quot;mmmm&quot;-&quot;yyyy"/>
    <numFmt numFmtId="167" formatCode="mm/dd/yyyy"/>
  </numFmts>
  <fonts count="8">
    <font>
      <sz val="10.0"/>
      <color rgb="FF000000"/>
      <name val="Arial"/>
      <scheme val="minor"/>
    </font>
    <font>
      <b/>
      <sz val="15.0"/>
      <color theme="1"/>
      <name val="Roboto Condensed"/>
    </font>
    <font>
      <b/>
      <sz val="16.0"/>
      <color rgb="FFCC0000"/>
      <name val="Roboto Condensed"/>
    </font>
    <font>
      <b/>
      <sz val="15.0"/>
      <color rgb="FF1155CC"/>
      <name val="Roboto Condensed"/>
    </font>
    <font>
      <color theme="1"/>
      <name val="Arial"/>
      <scheme val="minor"/>
    </font>
    <font>
      <b/>
      <sz val="15.0"/>
      <color rgb="FF000000"/>
      <name val="&quot;Roboto Condensed&quot;"/>
    </font>
    <font>
      <b/>
      <sz val="15.0"/>
      <color rgb="FFFF0000"/>
      <name val="&quot;Roboto Condensed&quot;"/>
    </font>
    <font>
      <b/>
      <sz val="16.0"/>
      <color rgb="FF333333"/>
      <name val="&quot;Roboto Condensed&quot;"/>
    </font>
  </fonts>
  <fills count="5">
    <fill>
      <patternFill patternType="none"/>
    </fill>
    <fill>
      <patternFill patternType="lightGray"/>
    </fill>
    <fill>
      <patternFill patternType="solid">
        <fgColor rgb="FFFFDEB8"/>
        <bgColor rgb="FFFFDEB8"/>
      </patternFill>
    </fill>
    <fill>
      <patternFill patternType="solid">
        <fgColor rgb="FFFFEDD5"/>
        <bgColor rgb="FFFFEDD5"/>
      </patternFill>
    </fill>
    <fill>
      <patternFill patternType="solid">
        <fgColor rgb="FFFFD7A3"/>
        <bgColor rgb="FFFFD7A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44822"/>
      </left>
      <right style="medium">
        <color rgb="FFC44822"/>
      </right>
      <top style="medium">
        <color rgb="FFC44822"/>
      </top>
      <bottom style="medium">
        <color rgb="FFC44822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0" fillId="4" fontId="5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1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2" fontId="1" numFmtId="165" xfId="0" applyAlignment="1" applyFont="1" applyNumberFormat="1">
      <alignment horizontal="center" readingOrder="0" vertical="bottom"/>
    </xf>
    <xf borderId="0" fillId="2" fontId="1" numFmtId="3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/>
    </xf>
    <xf borderId="0" fillId="0" fontId="4" numFmtId="166" xfId="0" applyFont="1" applyNumberFormat="1"/>
    <xf borderId="0" fillId="0" fontId="4" numFmtId="0" xfId="0" applyAlignment="1" applyFont="1">
      <alignment readingOrder="0"/>
    </xf>
    <xf borderId="2" fillId="3" fontId="7" numFmtId="0" xfId="0" applyAlignment="1" applyBorder="1" applyFont="1">
      <alignment horizontal="center" readingOrder="0"/>
    </xf>
    <xf borderId="0" fillId="0" fontId="4" numFmtId="166" xfId="0" applyFont="1" applyNumberFormat="1"/>
    <xf borderId="0" fillId="0" fontId="4" numFmtId="167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1">
    <tableStyle count="3" pivot="0" name="p65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382" displayName="Table_1" name="Table_1" id="1">
  <tableColumns count="11">
    <tableColumn name="Kì" id="1"/>
    <tableColumn name="Số 1" id="2"/>
    <tableColumn name="Số 2" id="3"/>
    <tableColumn name="Số 3" id="4"/>
    <tableColumn name="Số 4" id="5"/>
    <tableColumn name="Số 5" id="6"/>
    <tableColumn name="Số 6" id="7"/>
    <tableColumn name="Số Power" id="8"/>
    <tableColumn name="Ngày sổ" id="9"/>
    <tableColumn name="Giải J1" id="10"/>
    <tableColumn name="Giải J2" id="11"/>
  </tableColumns>
  <tableStyleInfo name="p65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3" width="9.13"/>
    <col customWidth="1" min="4" max="4" width="18.38"/>
    <col customWidth="1" min="5" max="7" width="9.13"/>
    <col customWidth="1" min="8" max="8" width="17.5"/>
    <col customWidth="1" min="9" max="9" width="21.25"/>
    <col customWidth="1" min="10" max="10" width="21.63"/>
    <col customWidth="1" min="11" max="11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8">
        <v>5.0</v>
      </c>
      <c r="C2" s="8">
        <v>10.0</v>
      </c>
      <c r="D2" s="8">
        <v>14.0</v>
      </c>
      <c r="E2" s="8">
        <v>23.0</v>
      </c>
      <c r="F2" s="8">
        <v>24.0</v>
      </c>
      <c r="G2" s="8">
        <v>38.0</v>
      </c>
      <c r="H2" s="9">
        <v>35.0</v>
      </c>
      <c r="I2" s="4">
        <v>42948.0</v>
      </c>
      <c r="J2" s="5" t="s">
        <v>11</v>
      </c>
      <c r="K2" s="10" t="s">
        <v>12</v>
      </c>
    </row>
    <row r="3">
      <c r="A3" s="7">
        <v>2.0</v>
      </c>
      <c r="B3" s="8">
        <v>4.0</v>
      </c>
      <c r="C3" s="8">
        <v>9.0</v>
      </c>
      <c r="D3" s="8">
        <v>24.0</v>
      </c>
      <c r="E3" s="8">
        <v>25.0</v>
      </c>
      <c r="F3" s="8">
        <v>27.0</v>
      </c>
      <c r="G3" s="8">
        <v>45.0</v>
      </c>
      <c r="H3" s="9">
        <v>40.0</v>
      </c>
      <c r="I3" s="4">
        <v>42950.0</v>
      </c>
      <c r="J3" s="5" t="s">
        <v>13</v>
      </c>
      <c r="K3" s="11" t="s">
        <v>14</v>
      </c>
    </row>
    <row r="4">
      <c r="A4" s="7">
        <v>3.0</v>
      </c>
      <c r="B4" s="8">
        <v>1.0</v>
      </c>
      <c r="C4" s="8">
        <v>5.0</v>
      </c>
      <c r="D4" s="8">
        <v>11.0</v>
      </c>
      <c r="E4" s="8">
        <v>32.0</v>
      </c>
      <c r="F4" s="8">
        <v>40.0</v>
      </c>
      <c r="G4" s="8">
        <v>45.0</v>
      </c>
      <c r="H4" s="9">
        <v>43.0</v>
      </c>
      <c r="I4" s="4">
        <v>42952.0</v>
      </c>
      <c r="J4" s="5" t="s">
        <v>15</v>
      </c>
      <c r="K4" s="10" t="s">
        <v>16</v>
      </c>
    </row>
    <row r="5">
      <c r="A5" s="7">
        <v>4.0</v>
      </c>
      <c r="B5" s="8">
        <v>19.0</v>
      </c>
      <c r="C5" s="8">
        <v>36.0</v>
      </c>
      <c r="D5" s="8">
        <v>39.0</v>
      </c>
      <c r="E5" s="8">
        <v>41.0</v>
      </c>
      <c r="F5" s="8">
        <v>46.0</v>
      </c>
      <c r="G5" s="8">
        <v>51.0</v>
      </c>
      <c r="H5" s="9">
        <v>38.0</v>
      </c>
      <c r="I5" s="4">
        <v>42955.0</v>
      </c>
      <c r="J5" s="5" t="s">
        <v>17</v>
      </c>
      <c r="K5" s="11" t="s">
        <v>18</v>
      </c>
    </row>
    <row r="6">
      <c r="A6" s="7">
        <v>5.0</v>
      </c>
      <c r="B6" s="8">
        <v>10.0</v>
      </c>
      <c r="C6" s="8">
        <v>11.0</v>
      </c>
      <c r="D6" s="8">
        <v>19.0</v>
      </c>
      <c r="E6" s="8">
        <v>41.0</v>
      </c>
      <c r="F6" s="8">
        <v>50.0</v>
      </c>
      <c r="G6" s="8">
        <v>54.0</v>
      </c>
      <c r="H6" s="9">
        <v>3.0</v>
      </c>
      <c r="I6" s="4">
        <v>42957.0</v>
      </c>
      <c r="J6" s="5" t="s">
        <v>19</v>
      </c>
      <c r="K6" s="10" t="s">
        <v>20</v>
      </c>
    </row>
    <row r="7">
      <c r="A7" s="7">
        <v>6.0</v>
      </c>
      <c r="B7" s="8">
        <v>6.0</v>
      </c>
      <c r="C7" s="8">
        <v>16.0</v>
      </c>
      <c r="D7" s="8">
        <v>20.0</v>
      </c>
      <c r="E7" s="8">
        <v>32.0</v>
      </c>
      <c r="F7" s="8">
        <v>38.0</v>
      </c>
      <c r="G7" s="8">
        <v>51.0</v>
      </c>
      <c r="H7" s="9">
        <v>34.0</v>
      </c>
      <c r="I7" s="4">
        <v>42959.0</v>
      </c>
      <c r="J7" s="5" t="s">
        <v>21</v>
      </c>
      <c r="K7" s="11" t="s">
        <v>22</v>
      </c>
    </row>
    <row r="8">
      <c r="A8" s="7">
        <v>7.0</v>
      </c>
      <c r="B8" s="8">
        <v>7.0</v>
      </c>
      <c r="C8" s="8">
        <v>11.0</v>
      </c>
      <c r="D8" s="8">
        <v>19.0</v>
      </c>
      <c r="E8" s="8">
        <v>32.0</v>
      </c>
      <c r="F8" s="8">
        <v>33.0</v>
      </c>
      <c r="G8" s="8">
        <v>51.0</v>
      </c>
      <c r="H8" s="9">
        <v>30.0</v>
      </c>
      <c r="I8" s="4">
        <v>42962.0</v>
      </c>
      <c r="J8" s="5" t="s">
        <v>23</v>
      </c>
      <c r="K8" s="10" t="s">
        <v>24</v>
      </c>
    </row>
    <row r="9">
      <c r="A9" s="7">
        <v>8.0</v>
      </c>
      <c r="B9" s="8">
        <v>11.0</v>
      </c>
      <c r="C9" s="8">
        <v>12.0</v>
      </c>
      <c r="D9" s="8">
        <v>20.0</v>
      </c>
      <c r="E9" s="8">
        <v>30.0</v>
      </c>
      <c r="F9" s="8">
        <v>32.0</v>
      </c>
      <c r="G9" s="8">
        <v>34.0</v>
      </c>
      <c r="H9" s="9">
        <v>53.0</v>
      </c>
      <c r="I9" s="4">
        <v>42964.0</v>
      </c>
      <c r="J9" s="5" t="s">
        <v>25</v>
      </c>
      <c r="K9" s="11" t="s">
        <v>26</v>
      </c>
    </row>
    <row r="10">
      <c r="A10" s="7">
        <v>9.0</v>
      </c>
      <c r="B10" s="8">
        <v>7.0</v>
      </c>
      <c r="C10" s="8">
        <v>11.0</v>
      </c>
      <c r="D10" s="8">
        <v>13.0</v>
      </c>
      <c r="E10" s="8">
        <v>15.0</v>
      </c>
      <c r="F10" s="8">
        <v>26.0</v>
      </c>
      <c r="G10" s="8">
        <v>51.0</v>
      </c>
      <c r="H10" s="9">
        <v>36.0</v>
      </c>
      <c r="I10" s="4">
        <v>42966.0</v>
      </c>
      <c r="J10" s="5" t="s">
        <v>27</v>
      </c>
      <c r="K10" s="10" t="s">
        <v>28</v>
      </c>
    </row>
    <row r="11">
      <c r="A11" s="7">
        <v>10.0</v>
      </c>
      <c r="B11" s="8">
        <v>10.0</v>
      </c>
      <c r="C11" s="8">
        <v>24.0</v>
      </c>
      <c r="D11" s="8">
        <v>31.0</v>
      </c>
      <c r="E11" s="8">
        <v>32.0</v>
      </c>
      <c r="F11" s="8">
        <v>38.0</v>
      </c>
      <c r="G11" s="8">
        <v>44.0</v>
      </c>
      <c r="H11" s="9">
        <v>14.0</v>
      </c>
      <c r="I11" s="4">
        <v>42969.0</v>
      </c>
      <c r="J11" s="5" t="s">
        <v>29</v>
      </c>
      <c r="K11" s="11" t="s">
        <v>30</v>
      </c>
    </row>
    <row r="12">
      <c r="A12" s="7">
        <v>11.0</v>
      </c>
      <c r="B12" s="8">
        <v>5.0</v>
      </c>
      <c r="C12" s="8">
        <v>16.0</v>
      </c>
      <c r="D12" s="8">
        <v>18.0</v>
      </c>
      <c r="E12" s="8">
        <v>37.0</v>
      </c>
      <c r="F12" s="8">
        <v>42.0</v>
      </c>
      <c r="G12" s="8">
        <v>46.0</v>
      </c>
      <c r="H12" s="9">
        <v>10.0</v>
      </c>
      <c r="I12" s="4">
        <v>42971.0</v>
      </c>
      <c r="J12" s="5" t="s">
        <v>31</v>
      </c>
      <c r="K12" s="10" t="s">
        <v>32</v>
      </c>
    </row>
    <row r="13">
      <c r="A13" s="7">
        <v>12.0</v>
      </c>
      <c r="B13" s="8">
        <v>17.0</v>
      </c>
      <c r="C13" s="8">
        <v>25.0</v>
      </c>
      <c r="D13" s="8">
        <v>30.0</v>
      </c>
      <c r="E13" s="8">
        <v>31.0</v>
      </c>
      <c r="F13" s="8">
        <v>36.0</v>
      </c>
      <c r="G13" s="8">
        <v>41.0</v>
      </c>
      <c r="H13" s="9">
        <v>20.0</v>
      </c>
      <c r="I13" s="4">
        <v>42973.0</v>
      </c>
      <c r="J13" s="5" t="s">
        <v>33</v>
      </c>
      <c r="K13" s="11" t="s">
        <v>34</v>
      </c>
    </row>
    <row r="14">
      <c r="A14" s="7">
        <v>13.0</v>
      </c>
      <c r="B14" s="8">
        <v>4.0</v>
      </c>
      <c r="C14" s="8">
        <v>12.0</v>
      </c>
      <c r="D14" s="8">
        <v>15.0</v>
      </c>
      <c r="E14" s="8">
        <v>23.0</v>
      </c>
      <c r="F14" s="8">
        <v>24.0</v>
      </c>
      <c r="G14" s="8">
        <v>41.0</v>
      </c>
      <c r="H14" s="9">
        <v>44.0</v>
      </c>
      <c r="I14" s="4">
        <v>42976.0</v>
      </c>
      <c r="J14" s="5" t="s">
        <v>35</v>
      </c>
      <c r="K14" s="10" t="s">
        <v>36</v>
      </c>
    </row>
    <row r="15">
      <c r="A15" s="7">
        <v>14.0</v>
      </c>
      <c r="B15" s="8">
        <v>8.0</v>
      </c>
      <c r="C15" s="8">
        <v>20.0</v>
      </c>
      <c r="D15" s="8">
        <v>27.0</v>
      </c>
      <c r="E15" s="8">
        <v>35.0</v>
      </c>
      <c r="F15" s="8">
        <v>36.0</v>
      </c>
      <c r="G15" s="8">
        <v>47.0</v>
      </c>
      <c r="H15" s="9">
        <v>18.0</v>
      </c>
      <c r="I15" s="4">
        <v>42978.0</v>
      </c>
      <c r="J15" s="5" t="s">
        <v>37</v>
      </c>
      <c r="K15" s="11" t="s">
        <v>38</v>
      </c>
    </row>
    <row r="16">
      <c r="A16" s="7">
        <v>15.0</v>
      </c>
      <c r="B16" s="8">
        <v>5.0</v>
      </c>
      <c r="C16" s="8">
        <v>9.0</v>
      </c>
      <c r="D16" s="8">
        <v>11.0</v>
      </c>
      <c r="E16" s="8">
        <v>18.0</v>
      </c>
      <c r="F16" s="8">
        <v>19.0</v>
      </c>
      <c r="G16" s="8">
        <v>37.0</v>
      </c>
      <c r="H16" s="9">
        <v>50.0</v>
      </c>
      <c r="I16" s="4">
        <v>42980.0</v>
      </c>
      <c r="J16" s="5" t="s">
        <v>39</v>
      </c>
      <c r="K16" s="10" t="s">
        <v>40</v>
      </c>
    </row>
    <row r="17">
      <c r="A17" s="7">
        <v>16.0</v>
      </c>
      <c r="B17" s="8">
        <v>1.0</v>
      </c>
      <c r="C17" s="8">
        <v>2.0</v>
      </c>
      <c r="D17" s="8">
        <v>8.0</v>
      </c>
      <c r="E17" s="8">
        <v>13.0</v>
      </c>
      <c r="F17" s="8">
        <v>23.0</v>
      </c>
      <c r="G17" s="8">
        <v>39.0</v>
      </c>
      <c r="H17" s="9">
        <v>9.0</v>
      </c>
      <c r="I17" s="4">
        <v>42983.0</v>
      </c>
      <c r="J17" s="5" t="s">
        <v>41</v>
      </c>
      <c r="K17" s="11" t="s">
        <v>42</v>
      </c>
    </row>
    <row r="18">
      <c r="A18" s="7">
        <v>17.0</v>
      </c>
      <c r="B18" s="8">
        <v>4.0</v>
      </c>
      <c r="C18" s="8">
        <v>18.0</v>
      </c>
      <c r="D18" s="8">
        <v>22.0</v>
      </c>
      <c r="E18" s="8">
        <v>31.0</v>
      </c>
      <c r="F18" s="8">
        <v>32.0</v>
      </c>
      <c r="G18" s="8">
        <v>40.0</v>
      </c>
      <c r="H18" s="9">
        <v>8.0</v>
      </c>
      <c r="I18" s="4">
        <v>42985.0</v>
      </c>
      <c r="J18" s="5" t="s">
        <v>43</v>
      </c>
      <c r="K18" s="10" t="s">
        <v>44</v>
      </c>
    </row>
    <row r="19">
      <c r="A19" s="7">
        <v>18.0</v>
      </c>
      <c r="B19" s="8">
        <v>1.0</v>
      </c>
      <c r="C19" s="8">
        <v>15.0</v>
      </c>
      <c r="D19" s="8">
        <v>23.0</v>
      </c>
      <c r="E19" s="8">
        <v>36.0</v>
      </c>
      <c r="F19" s="8">
        <v>43.0</v>
      </c>
      <c r="G19" s="8">
        <v>54.0</v>
      </c>
      <c r="H19" s="9">
        <v>12.0</v>
      </c>
      <c r="I19" s="4">
        <v>42987.0</v>
      </c>
      <c r="J19" s="5" t="s">
        <v>45</v>
      </c>
      <c r="K19" s="11" t="s">
        <v>46</v>
      </c>
    </row>
    <row r="20">
      <c r="A20" s="7">
        <v>19.0</v>
      </c>
      <c r="B20" s="8">
        <v>6.0</v>
      </c>
      <c r="C20" s="8">
        <v>10.0</v>
      </c>
      <c r="D20" s="8">
        <v>12.0</v>
      </c>
      <c r="E20" s="8">
        <v>47.0</v>
      </c>
      <c r="F20" s="8">
        <v>48.0</v>
      </c>
      <c r="G20" s="8">
        <v>51.0</v>
      </c>
      <c r="H20" s="9">
        <v>35.0</v>
      </c>
      <c r="I20" s="4">
        <v>42990.0</v>
      </c>
      <c r="J20" s="5" t="s">
        <v>47</v>
      </c>
      <c r="K20" s="10" t="s">
        <v>48</v>
      </c>
    </row>
    <row r="21">
      <c r="A21" s="7">
        <v>20.0</v>
      </c>
      <c r="B21" s="8">
        <v>22.0</v>
      </c>
      <c r="C21" s="8">
        <v>23.0</v>
      </c>
      <c r="D21" s="8">
        <v>32.0</v>
      </c>
      <c r="E21" s="8">
        <v>43.0</v>
      </c>
      <c r="F21" s="8">
        <v>44.0</v>
      </c>
      <c r="G21" s="8">
        <v>51.0</v>
      </c>
      <c r="H21" s="9">
        <v>15.0</v>
      </c>
      <c r="I21" s="4">
        <v>42992.0</v>
      </c>
      <c r="J21" s="5" t="s">
        <v>49</v>
      </c>
      <c r="K21" s="11" t="s">
        <v>50</v>
      </c>
    </row>
    <row r="22">
      <c r="A22" s="7">
        <v>21.0</v>
      </c>
      <c r="B22" s="8">
        <v>9.0</v>
      </c>
      <c r="C22" s="8">
        <v>12.0</v>
      </c>
      <c r="D22" s="8">
        <v>21.0</v>
      </c>
      <c r="E22" s="8">
        <v>26.0</v>
      </c>
      <c r="F22" s="8">
        <v>29.0</v>
      </c>
      <c r="G22" s="8">
        <v>52.0</v>
      </c>
      <c r="H22" s="9">
        <v>24.0</v>
      </c>
      <c r="I22" s="4">
        <v>42994.0</v>
      </c>
      <c r="J22" s="5" t="s">
        <v>51</v>
      </c>
      <c r="K22" s="10" t="s">
        <v>52</v>
      </c>
    </row>
    <row r="23">
      <c r="A23" s="7">
        <v>22.0</v>
      </c>
      <c r="B23" s="8">
        <v>3.0</v>
      </c>
      <c r="C23" s="8">
        <v>32.0</v>
      </c>
      <c r="D23" s="8">
        <v>36.0</v>
      </c>
      <c r="E23" s="8">
        <v>41.0</v>
      </c>
      <c r="F23" s="8">
        <v>44.0</v>
      </c>
      <c r="G23" s="8">
        <v>53.0</v>
      </c>
      <c r="H23" s="9">
        <v>45.0</v>
      </c>
      <c r="I23" s="4">
        <v>42997.0</v>
      </c>
      <c r="J23" s="5" t="s">
        <v>53</v>
      </c>
      <c r="K23" s="11" t="s">
        <v>54</v>
      </c>
    </row>
    <row r="24">
      <c r="A24" s="7">
        <v>23.0</v>
      </c>
      <c r="B24" s="8">
        <v>9.0</v>
      </c>
      <c r="C24" s="8">
        <v>12.0</v>
      </c>
      <c r="D24" s="8">
        <v>16.0</v>
      </c>
      <c r="E24" s="8">
        <v>24.0</v>
      </c>
      <c r="F24" s="8">
        <v>43.0</v>
      </c>
      <c r="G24" s="8">
        <v>51.0</v>
      </c>
      <c r="H24" s="9">
        <v>39.0</v>
      </c>
      <c r="I24" s="4">
        <v>42999.0</v>
      </c>
      <c r="J24" s="5" t="s">
        <v>55</v>
      </c>
      <c r="K24" s="12" t="s">
        <v>56</v>
      </c>
    </row>
    <row r="25">
      <c r="A25" s="7">
        <v>24.0</v>
      </c>
      <c r="B25" s="8">
        <v>7.0</v>
      </c>
      <c r="C25" s="8">
        <v>8.0</v>
      </c>
      <c r="D25" s="8">
        <v>27.0</v>
      </c>
      <c r="E25" s="8">
        <v>36.0</v>
      </c>
      <c r="F25" s="8">
        <v>44.0</v>
      </c>
      <c r="G25" s="8">
        <v>53.0</v>
      </c>
      <c r="H25" s="9">
        <v>49.0</v>
      </c>
      <c r="I25" s="4">
        <v>43001.0</v>
      </c>
      <c r="J25" s="5" t="s">
        <v>57</v>
      </c>
      <c r="K25" s="11" t="s">
        <v>58</v>
      </c>
    </row>
    <row r="26">
      <c r="A26" s="7">
        <v>25.0</v>
      </c>
      <c r="B26" s="8">
        <v>14.0</v>
      </c>
      <c r="C26" s="8">
        <v>15.0</v>
      </c>
      <c r="D26" s="8">
        <v>18.0</v>
      </c>
      <c r="E26" s="8">
        <v>30.0</v>
      </c>
      <c r="F26" s="8">
        <v>36.0</v>
      </c>
      <c r="G26" s="8">
        <v>49.0</v>
      </c>
      <c r="H26" s="9">
        <v>19.0</v>
      </c>
      <c r="I26" s="4">
        <v>43004.0</v>
      </c>
      <c r="J26" s="5" t="s">
        <v>59</v>
      </c>
      <c r="K26" s="10" t="s">
        <v>60</v>
      </c>
    </row>
    <row r="27">
      <c r="A27" s="7">
        <v>26.0</v>
      </c>
      <c r="B27" s="8">
        <v>20.0</v>
      </c>
      <c r="C27" s="8">
        <v>27.0</v>
      </c>
      <c r="D27" s="8">
        <v>28.0</v>
      </c>
      <c r="E27" s="8">
        <v>31.0</v>
      </c>
      <c r="F27" s="8">
        <v>39.0</v>
      </c>
      <c r="G27" s="8">
        <v>47.0</v>
      </c>
      <c r="H27" s="9">
        <v>10.0</v>
      </c>
      <c r="I27" s="4">
        <v>43006.0</v>
      </c>
      <c r="J27" s="5" t="s">
        <v>61</v>
      </c>
      <c r="K27" s="11" t="s">
        <v>62</v>
      </c>
    </row>
    <row r="28">
      <c r="A28" s="7">
        <v>27.0</v>
      </c>
      <c r="B28" s="8">
        <v>4.0</v>
      </c>
      <c r="C28" s="8">
        <v>17.0</v>
      </c>
      <c r="D28" s="8">
        <v>23.0</v>
      </c>
      <c r="E28" s="8">
        <v>25.0</v>
      </c>
      <c r="F28" s="8">
        <v>34.0</v>
      </c>
      <c r="G28" s="8">
        <v>46.0</v>
      </c>
      <c r="H28" s="9">
        <v>24.0</v>
      </c>
      <c r="I28" s="4">
        <v>43008.0</v>
      </c>
      <c r="J28" s="5" t="s">
        <v>63</v>
      </c>
      <c r="K28" s="10" t="s">
        <v>64</v>
      </c>
    </row>
    <row r="29">
      <c r="A29" s="7">
        <v>28.0</v>
      </c>
      <c r="B29" s="8">
        <v>21.0</v>
      </c>
      <c r="C29" s="8">
        <v>31.0</v>
      </c>
      <c r="D29" s="8">
        <v>35.0</v>
      </c>
      <c r="E29" s="8">
        <v>41.0</v>
      </c>
      <c r="F29" s="8">
        <v>46.0</v>
      </c>
      <c r="G29" s="8">
        <v>50.0</v>
      </c>
      <c r="H29" s="9">
        <v>23.0</v>
      </c>
      <c r="I29" s="4">
        <v>43011.0</v>
      </c>
      <c r="J29" s="5" t="s">
        <v>65</v>
      </c>
      <c r="K29" s="11" t="s">
        <v>66</v>
      </c>
    </row>
    <row r="30">
      <c r="A30" s="7">
        <v>29.0</v>
      </c>
      <c r="B30" s="8">
        <v>1.0</v>
      </c>
      <c r="C30" s="8">
        <v>3.0</v>
      </c>
      <c r="D30" s="8">
        <v>14.0</v>
      </c>
      <c r="E30" s="8">
        <v>19.0</v>
      </c>
      <c r="F30" s="8">
        <v>35.0</v>
      </c>
      <c r="G30" s="8">
        <v>41.0</v>
      </c>
      <c r="H30" s="9">
        <v>20.0</v>
      </c>
      <c r="I30" s="4">
        <v>43013.0</v>
      </c>
      <c r="J30" s="5" t="s">
        <v>67</v>
      </c>
      <c r="K30" s="10" t="s">
        <v>68</v>
      </c>
    </row>
    <row r="31">
      <c r="A31" s="7">
        <v>30.0</v>
      </c>
      <c r="B31" s="8">
        <v>31.0</v>
      </c>
      <c r="C31" s="8">
        <v>34.0</v>
      </c>
      <c r="D31" s="8">
        <v>40.0</v>
      </c>
      <c r="E31" s="8">
        <v>42.0</v>
      </c>
      <c r="F31" s="8">
        <v>43.0</v>
      </c>
      <c r="G31" s="8">
        <v>49.0</v>
      </c>
      <c r="H31" s="9">
        <v>16.0</v>
      </c>
      <c r="I31" s="4">
        <v>43015.0</v>
      </c>
      <c r="J31" s="5" t="s">
        <v>69</v>
      </c>
      <c r="K31" s="11" t="s">
        <v>70</v>
      </c>
    </row>
    <row r="32">
      <c r="A32" s="7">
        <v>31.0</v>
      </c>
      <c r="B32" s="8">
        <v>29.0</v>
      </c>
      <c r="C32" s="8">
        <v>33.0</v>
      </c>
      <c r="D32" s="8">
        <v>43.0</v>
      </c>
      <c r="E32" s="8">
        <v>44.0</v>
      </c>
      <c r="F32" s="8">
        <v>45.0</v>
      </c>
      <c r="G32" s="8">
        <v>50.0</v>
      </c>
      <c r="H32" s="9">
        <v>41.0</v>
      </c>
      <c r="I32" s="4">
        <v>43018.0</v>
      </c>
      <c r="J32" s="5" t="s">
        <v>71</v>
      </c>
      <c r="K32" s="10" t="s">
        <v>72</v>
      </c>
    </row>
    <row r="33">
      <c r="A33" s="7">
        <v>32.0</v>
      </c>
      <c r="B33" s="8">
        <v>5.0</v>
      </c>
      <c r="C33" s="8">
        <v>8.0</v>
      </c>
      <c r="D33" s="8">
        <v>11.0</v>
      </c>
      <c r="E33" s="8">
        <v>31.0</v>
      </c>
      <c r="F33" s="8">
        <v>37.0</v>
      </c>
      <c r="G33" s="8">
        <v>42.0</v>
      </c>
      <c r="H33" s="9">
        <v>52.0</v>
      </c>
      <c r="I33" s="4">
        <v>43020.0</v>
      </c>
      <c r="J33" s="5" t="s">
        <v>73</v>
      </c>
      <c r="K33" s="11" t="s">
        <v>74</v>
      </c>
    </row>
    <row r="34">
      <c r="A34" s="7">
        <v>33.0</v>
      </c>
      <c r="B34" s="8">
        <v>14.0</v>
      </c>
      <c r="C34" s="8">
        <v>18.0</v>
      </c>
      <c r="D34" s="8">
        <v>29.0</v>
      </c>
      <c r="E34" s="8">
        <v>35.0</v>
      </c>
      <c r="F34" s="8">
        <v>44.0</v>
      </c>
      <c r="G34" s="8">
        <v>49.0</v>
      </c>
      <c r="H34" s="9">
        <v>54.0</v>
      </c>
      <c r="I34" s="4">
        <v>43022.0</v>
      </c>
      <c r="J34" s="5" t="s">
        <v>75</v>
      </c>
      <c r="K34" s="10" t="s">
        <v>76</v>
      </c>
    </row>
    <row r="35">
      <c r="A35" s="7">
        <v>34.0</v>
      </c>
      <c r="B35" s="8">
        <v>1.0</v>
      </c>
      <c r="C35" s="8">
        <v>26.0</v>
      </c>
      <c r="D35" s="8">
        <v>36.0</v>
      </c>
      <c r="E35" s="8">
        <v>40.0</v>
      </c>
      <c r="F35" s="8">
        <v>50.0</v>
      </c>
      <c r="G35" s="8">
        <v>54.0</v>
      </c>
      <c r="H35" s="9">
        <v>31.0</v>
      </c>
      <c r="I35" s="4">
        <v>43025.0</v>
      </c>
      <c r="J35" s="5" t="s">
        <v>77</v>
      </c>
      <c r="K35" s="11" t="s">
        <v>78</v>
      </c>
    </row>
    <row r="36">
      <c r="A36" s="7">
        <v>35.0</v>
      </c>
      <c r="B36" s="8">
        <v>6.0</v>
      </c>
      <c r="C36" s="8">
        <v>15.0</v>
      </c>
      <c r="D36" s="8">
        <v>17.0</v>
      </c>
      <c r="E36" s="8">
        <v>24.0</v>
      </c>
      <c r="F36" s="8">
        <v>40.0</v>
      </c>
      <c r="G36" s="8">
        <v>45.0</v>
      </c>
      <c r="H36" s="9">
        <v>39.0</v>
      </c>
      <c r="I36" s="4">
        <v>43027.0</v>
      </c>
      <c r="J36" s="5" t="s">
        <v>79</v>
      </c>
      <c r="K36" s="10" t="s">
        <v>80</v>
      </c>
    </row>
    <row r="37">
      <c r="A37" s="7">
        <v>36.0</v>
      </c>
      <c r="B37" s="8">
        <v>4.0</v>
      </c>
      <c r="C37" s="8">
        <v>9.0</v>
      </c>
      <c r="D37" s="8">
        <v>13.0</v>
      </c>
      <c r="E37" s="8">
        <v>16.0</v>
      </c>
      <c r="F37" s="8">
        <v>18.0</v>
      </c>
      <c r="G37" s="8">
        <v>49.0</v>
      </c>
      <c r="H37" s="9">
        <v>30.0</v>
      </c>
      <c r="I37" s="4">
        <v>43029.0</v>
      </c>
      <c r="J37" s="5" t="s">
        <v>81</v>
      </c>
      <c r="K37" s="13" t="s">
        <v>82</v>
      </c>
    </row>
    <row r="38">
      <c r="A38" s="7">
        <v>37.0</v>
      </c>
      <c r="B38" s="8">
        <v>1.0</v>
      </c>
      <c r="C38" s="8">
        <v>2.0</v>
      </c>
      <c r="D38" s="8">
        <v>9.0</v>
      </c>
      <c r="E38" s="8">
        <v>13.0</v>
      </c>
      <c r="F38" s="8">
        <v>32.0</v>
      </c>
      <c r="G38" s="8">
        <v>35.0</v>
      </c>
      <c r="H38" s="9">
        <v>52.0</v>
      </c>
      <c r="I38" s="4">
        <v>43032.0</v>
      </c>
      <c r="J38" s="5" t="s">
        <v>83</v>
      </c>
      <c r="K38" s="12" t="s">
        <v>84</v>
      </c>
    </row>
    <row r="39">
      <c r="A39" s="7">
        <v>38.0</v>
      </c>
      <c r="B39" s="8">
        <v>2.0</v>
      </c>
      <c r="C39" s="8">
        <v>10.0</v>
      </c>
      <c r="D39" s="8">
        <v>15.0</v>
      </c>
      <c r="E39" s="8">
        <v>30.0</v>
      </c>
      <c r="F39" s="8">
        <v>34.0</v>
      </c>
      <c r="G39" s="8">
        <v>50.0</v>
      </c>
      <c r="H39" s="9">
        <v>3.0</v>
      </c>
      <c r="I39" s="4">
        <v>43034.0</v>
      </c>
      <c r="J39" s="5" t="s">
        <v>85</v>
      </c>
      <c r="K39" s="11" t="s">
        <v>86</v>
      </c>
    </row>
    <row r="40">
      <c r="A40" s="7">
        <v>39.0</v>
      </c>
      <c r="B40" s="8">
        <v>13.0</v>
      </c>
      <c r="C40" s="8">
        <v>18.0</v>
      </c>
      <c r="D40" s="8">
        <v>35.0</v>
      </c>
      <c r="E40" s="8">
        <v>36.0</v>
      </c>
      <c r="F40" s="8">
        <v>41.0</v>
      </c>
      <c r="G40" s="8">
        <v>48.0</v>
      </c>
      <c r="H40" s="9">
        <v>47.0</v>
      </c>
      <c r="I40" s="4">
        <v>43036.0</v>
      </c>
      <c r="J40" s="5" t="s">
        <v>87</v>
      </c>
      <c r="K40" s="10" t="s">
        <v>88</v>
      </c>
    </row>
    <row r="41">
      <c r="A41" s="7">
        <v>40.0</v>
      </c>
      <c r="B41" s="8">
        <v>7.0</v>
      </c>
      <c r="C41" s="8">
        <v>13.0</v>
      </c>
      <c r="D41" s="8">
        <v>24.0</v>
      </c>
      <c r="E41" s="8">
        <v>45.0</v>
      </c>
      <c r="F41" s="8">
        <v>47.0</v>
      </c>
      <c r="G41" s="8">
        <v>52.0</v>
      </c>
      <c r="H41" s="9">
        <v>33.0</v>
      </c>
      <c r="I41" s="4">
        <v>43039.0</v>
      </c>
      <c r="J41" s="5" t="s">
        <v>89</v>
      </c>
      <c r="K41" s="11" t="s">
        <v>90</v>
      </c>
    </row>
    <row r="42">
      <c r="A42" s="7">
        <v>41.0</v>
      </c>
      <c r="B42" s="8">
        <v>3.0</v>
      </c>
      <c r="C42" s="8">
        <v>9.0</v>
      </c>
      <c r="D42" s="8">
        <v>12.0</v>
      </c>
      <c r="E42" s="8">
        <v>21.0</v>
      </c>
      <c r="F42" s="8">
        <v>51.0</v>
      </c>
      <c r="G42" s="8">
        <v>52.0</v>
      </c>
      <c r="H42" s="9">
        <v>7.0</v>
      </c>
      <c r="I42" s="4">
        <v>43041.0</v>
      </c>
      <c r="J42" s="5" t="s">
        <v>91</v>
      </c>
      <c r="K42" s="10" t="s">
        <v>92</v>
      </c>
    </row>
    <row r="43">
      <c r="A43" s="7">
        <v>42.0</v>
      </c>
      <c r="B43" s="8">
        <v>2.0</v>
      </c>
      <c r="C43" s="8">
        <v>8.0</v>
      </c>
      <c r="D43" s="8">
        <v>12.0</v>
      </c>
      <c r="E43" s="8">
        <v>44.0</v>
      </c>
      <c r="F43" s="8">
        <v>46.0</v>
      </c>
      <c r="G43" s="8">
        <v>52.0</v>
      </c>
      <c r="H43" s="9">
        <v>9.0</v>
      </c>
      <c r="I43" s="4">
        <v>43043.0</v>
      </c>
      <c r="J43" s="5" t="s">
        <v>93</v>
      </c>
      <c r="K43" s="11" t="s">
        <v>94</v>
      </c>
    </row>
    <row r="44">
      <c r="A44" s="7">
        <v>43.0</v>
      </c>
      <c r="B44" s="8">
        <v>19.0</v>
      </c>
      <c r="C44" s="8">
        <v>32.0</v>
      </c>
      <c r="D44" s="8">
        <v>36.0</v>
      </c>
      <c r="E44" s="8">
        <v>37.0</v>
      </c>
      <c r="F44" s="8">
        <v>42.0</v>
      </c>
      <c r="G44" s="8">
        <v>54.0</v>
      </c>
      <c r="H44" s="9">
        <v>28.0</v>
      </c>
      <c r="I44" s="4">
        <v>43046.0</v>
      </c>
      <c r="J44" s="5" t="s">
        <v>95</v>
      </c>
      <c r="K44" s="10" t="s">
        <v>96</v>
      </c>
    </row>
    <row r="45">
      <c r="A45" s="7">
        <v>44.0</v>
      </c>
      <c r="B45" s="8">
        <v>2.0</v>
      </c>
      <c r="C45" s="8">
        <v>3.0</v>
      </c>
      <c r="D45" s="8">
        <v>6.0</v>
      </c>
      <c r="E45" s="8">
        <v>23.0</v>
      </c>
      <c r="F45" s="8">
        <v>34.0</v>
      </c>
      <c r="G45" s="8">
        <v>36.0</v>
      </c>
      <c r="H45" s="9">
        <v>50.0</v>
      </c>
      <c r="I45" s="4">
        <v>43048.0</v>
      </c>
      <c r="J45" s="5" t="s">
        <v>97</v>
      </c>
      <c r="K45" s="13" t="s">
        <v>98</v>
      </c>
    </row>
    <row r="46">
      <c r="A46" s="7">
        <v>45.0</v>
      </c>
      <c r="B46" s="8">
        <v>12.0</v>
      </c>
      <c r="C46" s="8">
        <v>26.0</v>
      </c>
      <c r="D46" s="8">
        <v>33.0</v>
      </c>
      <c r="E46" s="8">
        <v>35.0</v>
      </c>
      <c r="F46" s="8">
        <v>36.0</v>
      </c>
      <c r="G46" s="8">
        <v>44.0</v>
      </c>
      <c r="H46" s="9">
        <v>1.0</v>
      </c>
      <c r="I46" s="4">
        <v>43050.0</v>
      </c>
      <c r="J46" s="5" t="s">
        <v>99</v>
      </c>
      <c r="K46" s="10" t="s">
        <v>100</v>
      </c>
    </row>
    <row r="47">
      <c r="A47" s="7">
        <v>46.0</v>
      </c>
      <c r="B47" s="8">
        <v>20.0</v>
      </c>
      <c r="C47" s="8">
        <v>24.0</v>
      </c>
      <c r="D47" s="8">
        <v>29.0</v>
      </c>
      <c r="E47" s="8">
        <v>41.0</v>
      </c>
      <c r="F47" s="8">
        <v>47.0</v>
      </c>
      <c r="G47" s="8">
        <v>49.0</v>
      </c>
      <c r="H47" s="9">
        <v>22.0</v>
      </c>
      <c r="I47" s="4">
        <v>43053.0</v>
      </c>
      <c r="J47" s="5" t="s">
        <v>101</v>
      </c>
      <c r="K47" s="13" t="s">
        <v>102</v>
      </c>
    </row>
    <row r="48">
      <c r="A48" s="7">
        <v>47.0</v>
      </c>
      <c r="B48" s="8">
        <v>1.0</v>
      </c>
      <c r="C48" s="8">
        <v>16.0</v>
      </c>
      <c r="D48" s="8">
        <v>22.0</v>
      </c>
      <c r="E48" s="8">
        <v>25.0</v>
      </c>
      <c r="F48" s="8">
        <v>47.0</v>
      </c>
      <c r="G48" s="8">
        <v>48.0</v>
      </c>
      <c r="H48" s="9">
        <v>21.0</v>
      </c>
      <c r="I48" s="4">
        <v>43055.0</v>
      </c>
      <c r="J48" s="5" t="s">
        <v>103</v>
      </c>
      <c r="K48" s="10" t="s">
        <v>104</v>
      </c>
    </row>
    <row r="49">
      <c r="A49" s="7">
        <v>48.0</v>
      </c>
      <c r="B49" s="8">
        <v>11.0</v>
      </c>
      <c r="C49" s="8">
        <v>12.0</v>
      </c>
      <c r="D49" s="8">
        <v>26.0</v>
      </c>
      <c r="E49" s="8">
        <v>42.0</v>
      </c>
      <c r="F49" s="8">
        <v>50.0</v>
      </c>
      <c r="G49" s="8">
        <v>54.0</v>
      </c>
      <c r="H49" s="9">
        <v>17.0</v>
      </c>
      <c r="I49" s="4">
        <v>43057.0</v>
      </c>
      <c r="J49" s="5" t="s">
        <v>105</v>
      </c>
      <c r="K49" s="13" t="s">
        <v>106</v>
      </c>
    </row>
    <row r="50">
      <c r="A50" s="7">
        <v>49.0</v>
      </c>
      <c r="B50" s="8">
        <v>5.0</v>
      </c>
      <c r="C50" s="8">
        <v>8.0</v>
      </c>
      <c r="D50" s="8">
        <v>23.0</v>
      </c>
      <c r="E50" s="8">
        <v>37.0</v>
      </c>
      <c r="F50" s="8">
        <v>38.0</v>
      </c>
      <c r="G50" s="8">
        <v>54.0</v>
      </c>
      <c r="H50" s="9">
        <v>55.0</v>
      </c>
      <c r="I50" s="4">
        <v>43060.0</v>
      </c>
      <c r="J50" s="5" t="s">
        <v>107</v>
      </c>
      <c r="K50" s="10" t="s">
        <v>108</v>
      </c>
    </row>
    <row r="51">
      <c r="A51" s="7">
        <v>50.0</v>
      </c>
      <c r="B51" s="8">
        <v>1.0</v>
      </c>
      <c r="C51" s="8">
        <v>2.0</v>
      </c>
      <c r="D51" s="8">
        <v>3.0</v>
      </c>
      <c r="E51" s="8">
        <v>18.0</v>
      </c>
      <c r="F51" s="8">
        <v>25.0</v>
      </c>
      <c r="G51" s="8">
        <v>50.0</v>
      </c>
      <c r="H51" s="9">
        <v>14.0</v>
      </c>
      <c r="I51" s="4">
        <v>43062.0</v>
      </c>
      <c r="J51" s="5" t="s">
        <v>109</v>
      </c>
      <c r="K51" s="13" t="s">
        <v>110</v>
      </c>
    </row>
    <row r="52">
      <c r="A52" s="7">
        <v>51.0</v>
      </c>
      <c r="B52" s="8">
        <v>2.0</v>
      </c>
      <c r="C52" s="8">
        <v>9.0</v>
      </c>
      <c r="D52" s="8">
        <v>16.0</v>
      </c>
      <c r="E52" s="8">
        <v>46.0</v>
      </c>
      <c r="F52" s="8">
        <v>52.0</v>
      </c>
      <c r="G52" s="8">
        <v>55.0</v>
      </c>
      <c r="H52" s="9">
        <v>50.0</v>
      </c>
      <c r="I52" s="4">
        <v>43064.0</v>
      </c>
      <c r="J52" s="5" t="s">
        <v>111</v>
      </c>
      <c r="K52" s="10" t="s">
        <v>112</v>
      </c>
    </row>
    <row r="53">
      <c r="A53" s="7">
        <v>52.0</v>
      </c>
      <c r="B53" s="8">
        <v>2.0</v>
      </c>
      <c r="C53" s="8">
        <v>19.0</v>
      </c>
      <c r="D53" s="8">
        <v>39.0</v>
      </c>
      <c r="E53" s="8">
        <v>49.0</v>
      </c>
      <c r="F53" s="8">
        <v>51.0</v>
      </c>
      <c r="G53" s="8">
        <v>53.0</v>
      </c>
      <c r="H53" s="9">
        <v>20.0</v>
      </c>
      <c r="I53" s="4">
        <v>43067.0</v>
      </c>
      <c r="J53" s="5" t="s">
        <v>113</v>
      </c>
      <c r="K53" s="13" t="s">
        <v>114</v>
      </c>
    </row>
    <row r="54">
      <c r="A54" s="7">
        <v>53.0</v>
      </c>
      <c r="B54" s="8">
        <v>5.0</v>
      </c>
      <c r="C54" s="8">
        <v>13.0</v>
      </c>
      <c r="D54" s="8">
        <v>26.0</v>
      </c>
      <c r="E54" s="8">
        <v>37.0</v>
      </c>
      <c r="F54" s="8">
        <v>53.0</v>
      </c>
      <c r="G54" s="8">
        <v>55.0</v>
      </c>
      <c r="H54" s="9">
        <v>28.0</v>
      </c>
      <c r="I54" s="4">
        <v>43069.0</v>
      </c>
      <c r="J54" s="5" t="s">
        <v>115</v>
      </c>
      <c r="K54" s="10" t="s">
        <v>116</v>
      </c>
    </row>
    <row r="55">
      <c r="A55" s="7">
        <v>54.0</v>
      </c>
      <c r="B55" s="8">
        <v>9.0</v>
      </c>
      <c r="C55" s="8">
        <v>37.0</v>
      </c>
      <c r="D55" s="8">
        <v>45.0</v>
      </c>
      <c r="E55" s="8">
        <v>50.0</v>
      </c>
      <c r="F55" s="8">
        <v>53.0</v>
      </c>
      <c r="G55" s="8">
        <v>54.0</v>
      </c>
      <c r="H55" s="9">
        <v>40.0</v>
      </c>
      <c r="I55" s="4">
        <v>43071.0</v>
      </c>
      <c r="J55" s="5" t="s">
        <v>117</v>
      </c>
      <c r="K55" s="11" t="s">
        <v>118</v>
      </c>
    </row>
    <row r="56">
      <c r="A56" s="7">
        <v>55.0</v>
      </c>
      <c r="B56" s="8">
        <v>27.0</v>
      </c>
      <c r="C56" s="8">
        <v>38.0</v>
      </c>
      <c r="D56" s="8">
        <v>40.0</v>
      </c>
      <c r="E56" s="8">
        <v>42.0</v>
      </c>
      <c r="F56" s="8">
        <v>46.0</v>
      </c>
      <c r="G56" s="8">
        <v>55.0</v>
      </c>
      <c r="H56" s="9">
        <v>5.0</v>
      </c>
      <c r="I56" s="4">
        <v>43074.0</v>
      </c>
      <c r="J56" s="5" t="s">
        <v>119</v>
      </c>
      <c r="K56" s="10" t="s">
        <v>120</v>
      </c>
    </row>
    <row r="57">
      <c r="A57" s="7">
        <v>56.0</v>
      </c>
      <c r="B57" s="8">
        <v>3.0</v>
      </c>
      <c r="C57" s="8">
        <v>14.0</v>
      </c>
      <c r="D57" s="8">
        <v>26.0</v>
      </c>
      <c r="E57" s="8">
        <v>35.0</v>
      </c>
      <c r="F57" s="8">
        <v>44.0</v>
      </c>
      <c r="G57" s="8">
        <v>54.0</v>
      </c>
      <c r="H57" s="9">
        <v>25.0</v>
      </c>
      <c r="I57" s="4">
        <v>43076.0</v>
      </c>
      <c r="J57" s="5" t="s">
        <v>121</v>
      </c>
      <c r="K57" s="13" t="s">
        <v>122</v>
      </c>
    </row>
    <row r="58">
      <c r="A58" s="7">
        <v>57.0</v>
      </c>
      <c r="B58" s="8">
        <v>5.0</v>
      </c>
      <c r="C58" s="8">
        <v>34.0</v>
      </c>
      <c r="D58" s="8">
        <v>35.0</v>
      </c>
      <c r="E58" s="8">
        <v>42.0</v>
      </c>
      <c r="F58" s="8">
        <v>49.0</v>
      </c>
      <c r="G58" s="8">
        <v>52.0</v>
      </c>
      <c r="H58" s="9">
        <v>21.0</v>
      </c>
      <c r="I58" s="4">
        <v>43078.0</v>
      </c>
      <c r="J58" s="5" t="s">
        <v>123</v>
      </c>
      <c r="K58" s="12" t="s">
        <v>124</v>
      </c>
    </row>
    <row r="59">
      <c r="A59" s="7">
        <v>58.0</v>
      </c>
      <c r="B59" s="8">
        <v>6.0</v>
      </c>
      <c r="C59" s="8">
        <v>7.0</v>
      </c>
      <c r="D59" s="8">
        <v>8.0</v>
      </c>
      <c r="E59" s="8">
        <v>21.0</v>
      </c>
      <c r="F59" s="8">
        <v>32.0</v>
      </c>
      <c r="G59" s="8">
        <v>39.0</v>
      </c>
      <c r="H59" s="9">
        <v>27.0</v>
      </c>
      <c r="I59" s="4">
        <v>43081.0</v>
      </c>
      <c r="J59" s="5" t="s">
        <v>125</v>
      </c>
      <c r="K59" s="11" t="s">
        <v>126</v>
      </c>
    </row>
    <row r="60">
      <c r="A60" s="7">
        <v>59.0</v>
      </c>
      <c r="B60" s="8">
        <v>11.0</v>
      </c>
      <c r="C60" s="8">
        <v>12.0</v>
      </c>
      <c r="D60" s="8">
        <v>22.0</v>
      </c>
      <c r="E60" s="8">
        <v>28.0</v>
      </c>
      <c r="F60" s="8">
        <v>46.0</v>
      </c>
      <c r="G60" s="8">
        <v>50.0</v>
      </c>
      <c r="H60" s="9">
        <v>7.0</v>
      </c>
      <c r="I60" s="4">
        <v>43083.0</v>
      </c>
      <c r="J60" s="5" t="s">
        <v>127</v>
      </c>
      <c r="K60" s="10" t="s">
        <v>128</v>
      </c>
    </row>
    <row r="61">
      <c r="A61" s="7">
        <v>60.0</v>
      </c>
      <c r="B61" s="8">
        <v>5.0</v>
      </c>
      <c r="C61" s="8">
        <v>23.0</v>
      </c>
      <c r="D61" s="8">
        <v>37.0</v>
      </c>
      <c r="E61" s="8">
        <v>41.0</v>
      </c>
      <c r="F61" s="8">
        <v>43.0</v>
      </c>
      <c r="G61" s="8">
        <v>53.0</v>
      </c>
      <c r="H61" s="9">
        <v>25.0</v>
      </c>
      <c r="I61" s="4">
        <v>43085.0</v>
      </c>
      <c r="J61" s="5" t="s">
        <v>129</v>
      </c>
      <c r="K61" s="11" t="s">
        <v>130</v>
      </c>
    </row>
    <row r="62">
      <c r="A62" s="7">
        <v>61.0</v>
      </c>
      <c r="B62" s="8">
        <v>2.0</v>
      </c>
      <c r="C62" s="8">
        <v>3.0</v>
      </c>
      <c r="D62" s="8">
        <v>20.0</v>
      </c>
      <c r="E62" s="8">
        <v>25.0</v>
      </c>
      <c r="F62" s="8">
        <v>38.0</v>
      </c>
      <c r="G62" s="8">
        <v>44.0</v>
      </c>
      <c r="H62" s="9">
        <v>12.0</v>
      </c>
      <c r="I62" s="4">
        <v>43088.0</v>
      </c>
      <c r="J62" s="5" t="s">
        <v>131</v>
      </c>
      <c r="K62" s="10" t="s">
        <v>132</v>
      </c>
    </row>
    <row r="63">
      <c r="A63" s="7">
        <v>62.0</v>
      </c>
      <c r="B63" s="8">
        <v>22.0</v>
      </c>
      <c r="C63" s="8">
        <v>23.0</v>
      </c>
      <c r="D63" s="8">
        <v>27.0</v>
      </c>
      <c r="E63" s="8">
        <v>35.0</v>
      </c>
      <c r="F63" s="8">
        <v>37.0</v>
      </c>
      <c r="G63" s="8">
        <v>46.0</v>
      </c>
      <c r="H63" s="9">
        <v>19.0</v>
      </c>
      <c r="I63" s="4">
        <v>43090.0</v>
      </c>
      <c r="J63" s="5" t="s">
        <v>133</v>
      </c>
      <c r="K63" s="11" t="s">
        <v>134</v>
      </c>
    </row>
    <row r="64">
      <c r="A64" s="7">
        <v>63.0</v>
      </c>
      <c r="B64" s="8">
        <v>7.0</v>
      </c>
      <c r="C64" s="8">
        <v>8.0</v>
      </c>
      <c r="D64" s="8">
        <v>9.0</v>
      </c>
      <c r="E64" s="8">
        <v>13.0</v>
      </c>
      <c r="F64" s="8">
        <v>28.0</v>
      </c>
      <c r="G64" s="8">
        <v>44.0</v>
      </c>
      <c r="H64" s="9">
        <v>12.0</v>
      </c>
      <c r="I64" s="4">
        <v>43092.0</v>
      </c>
      <c r="J64" s="5" t="s">
        <v>135</v>
      </c>
      <c r="K64" s="10" t="s">
        <v>136</v>
      </c>
    </row>
    <row r="65">
      <c r="A65" s="7">
        <v>64.0</v>
      </c>
      <c r="B65" s="8">
        <v>7.0</v>
      </c>
      <c r="C65" s="8">
        <v>11.0</v>
      </c>
      <c r="D65" s="8">
        <v>13.0</v>
      </c>
      <c r="E65" s="8">
        <v>18.0</v>
      </c>
      <c r="F65" s="8">
        <v>26.0</v>
      </c>
      <c r="G65" s="8">
        <v>42.0</v>
      </c>
      <c r="H65" s="9">
        <v>49.0</v>
      </c>
      <c r="I65" s="4">
        <v>43095.0</v>
      </c>
      <c r="J65" s="5" t="s">
        <v>137</v>
      </c>
      <c r="K65" s="11" t="s">
        <v>138</v>
      </c>
    </row>
    <row r="66">
      <c r="A66" s="7">
        <v>65.0</v>
      </c>
      <c r="B66" s="8">
        <v>7.0</v>
      </c>
      <c r="C66" s="8">
        <v>18.0</v>
      </c>
      <c r="D66" s="8">
        <v>26.0</v>
      </c>
      <c r="E66" s="8">
        <v>29.0</v>
      </c>
      <c r="F66" s="8">
        <v>31.0</v>
      </c>
      <c r="G66" s="8">
        <v>35.0</v>
      </c>
      <c r="H66" s="9">
        <v>34.0</v>
      </c>
      <c r="I66" s="4">
        <v>43097.0</v>
      </c>
      <c r="J66" s="5" t="s">
        <v>139</v>
      </c>
      <c r="K66" s="10" t="s">
        <v>140</v>
      </c>
    </row>
    <row r="67">
      <c r="A67" s="7">
        <v>66.0</v>
      </c>
      <c r="B67" s="8">
        <v>8.0</v>
      </c>
      <c r="C67" s="8">
        <v>9.0</v>
      </c>
      <c r="D67" s="8">
        <v>36.0</v>
      </c>
      <c r="E67" s="8">
        <v>37.0</v>
      </c>
      <c r="F67" s="8">
        <v>39.0</v>
      </c>
      <c r="G67" s="8">
        <v>50.0</v>
      </c>
      <c r="H67" s="9">
        <v>7.0</v>
      </c>
      <c r="I67" s="4">
        <v>43099.0</v>
      </c>
      <c r="J67" s="5" t="s">
        <v>141</v>
      </c>
      <c r="K67" s="13" t="s">
        <v>142</v>
      </c>
    </row>
    <row r="68">
      <c r="A68" s="7">
        <v>67.0</v>
      </c>
      <c r="B68" s="8">
        <v>4.0</v>
      </c>
      <c r="C68" s="8">
        <v>7.0</v>
      </c>
      <c r="D68" s="8">
        <v>8.0</v>
      </c>
      <c r="E68" s="8">
        <v>34.0</v>
      </c>
      <c r="F68" s="8">
        <v>37.0</v>
      </c>
      <c r="G68" s="8">
        <v>47.0</v>
      </c>
      <c r="H68" s="9">
        <v>24.0</v>
      </c>
      <c r="I68" s="4">
        <v>43102.0</v>
      </c>
      <c r="J68" s="5" t="s">
        <v>143</v>
      </c>
      <c r="K68" s="10" t="s">
        <v>144</v>
      </c>
    </row>
    <row r="69">
      <c r="A69" s="7">
        <v>68.0</v>
      </c>
      <c r="B69" s="8">
        <v>1.0</v>
      </c>
      <c r="C69" s="8">
        <v>7.0</v>
      </c>
      <c r="D69" s="8">
        <v>31.0</v>
      </c>
      <c r="E69" s="8">
        <v>35.0</v>
      </c>
      <c r="F69" s="8">
        <v>46.0</v>
      </c>
      <c r="G69" s="8">
        <v>55.0</v>
      </c>
      <c r="H69" s="9">
        <v>51.0</v>
      </c>
      <c r="I69" s="4">
        <v>43104.0</v>
      </c>
      <c r="J69" s="5" t="s">
        <v>145</v>
      </c>
      <c r="K69" s="13" t="s">
        <v>146</v>
      </c>
    </row>
    <row r="70">
      <c r="A70" s="7">
        <v>69.0</v>
      </c>
      <c r="B70" s="8">
        <v>4.0</v>
      </c>
      <c r="C70" s="8">
        <v>11.0</v>
      </c>
      <c r="D70" s="8">
        <v>24.0</v>
      </c>
      <c r="E70" s="8">
        <v>35.0</v>
      </c>
      <c r="F70" s="8">
        <v>41.0</v>
      </c>
      <c r="G70" s="8">
        <v>45.0</v>
      </c>
      <c r="H70" s="9">
        <v>17.0</v>
      </c>
      <c r="I70" s="4">
        <v>43106.0</v>
      </c>
      <c r="J70" s="5" t="s">
        <v>147</v>
      </c>
      <c r="K70" s="10" t="s">
        <v>148</v>
      </c>
    </row>
    <row r="71">
      <c r="A71" s="7">
        <v>70.0</v>
      </c>
      <c r="B71" s="8">
        <v>18.0</v>
      </c>
      <c r="C71" s="8">
        <v>25.0</v>
      </c>
      <c r="D71" s="8">
        <v>28.0</v>
      </c>
      <c r="E71" s="8">
        <v>46.0</v>
      </c>
      <c r="F71" s="8">
        <v>50.0</v>
      </c>
      <c r="G71" s="8">
        <v>51.0</v>
      </c>
      <c r="H71" s="9">
        <v>15.0</v>
      </c>
      <c r="I71" s="4">
        <v>43109.0</v>
      </c>
      <c r="J71" s="5" t="s">
        <v>149</v>
      </c>
      <c r="K71" s="13" t="s">
        <v>150</v>
      </c>
    </row>
    <row r="72">
      <c r="A72" s="7">
        <v>71.0</v>
      </c>
      <c r="B72" s="8">
        <v>4.0</v>
      </c>
      <c r="C72" s="8">
        <v>7.0</v>
      </c>
      <c r="D72" s="8">
        <v>30.0</v>
      </c>
      <c r="E72" s="8">
        <v>35.0</v>
      </c>
      <c r="F72" s="8">
        <v>37.0</v>
      </c>
      <c r="G72" s="8">
        <v>45.0</v>
      </c>
      <c r="H72" s="9">
        <v>1.0</v>
      </c>
      <c r="I72" s="4">
        <v>43111.0</v>
      </c>
      <c r="J72" s="5" t="s">
        <v>151</v>
      </c>
      <c r="K72" s="12" t="s">
        <v>152</v>
      </c>
    </row>
    <row r="73">
      <c r="A73" s="7">
        <v>72.0</v>
      </c>
      <c r="B73" s="8">
        <v>3.0</v>
      </c>
      <c r="C73" s="8">
        <v>21.0</v>
      </c>
      <c r="D73" s="8">
        <v>25.0</v>
      </c>
      <c r="E73" s="8">
        <v>26.0</v>
      </c>
      <c r="F73" s="8">
        <v>51.0</v>
      </c>
      <c r="G73" s="8">
        <v>55.0</v>
      </c>
      <c r="H73" s="9">
        <v>37.0</v>
      </c>
      <c r="I73" s="4">
        <v>43113.0</v>
      </c>
      <c r="J73" s="5" t="s">
        <v>153</v>
      </c>
      <c r="K73" s="11" t="s">
        <v>154</v>
      </c>
    </row>
    <row r="74">
      <c r="A74" s="7">
        <v>73.0</v>
      </c>
      <c r="B74" s="8">
        <v>6.0</v>
      </c>
      <c r="C74" s="8">
        <v>27.0</v>
      </c>
      <c r="D74" s="8">
        <v>33.0</v>
      </c>
      <c r="E74" s="8">
        <v>41.0</v>
      </c>
      <c r="F74" s="8">
        <v>42.0</v>
      </c>
      <c r="G74" s="8">
        <v>49.0</v>
      </c>
      <c r="H74" s="9">
        <v>22.0</v>
      </c>
      <c r="I74" s="4">
        <v>43116.0</v>
      </c>
      <c r="J74" s="5" t="s">
        <v>155</v>
      </c>
      <c r="K74" s="10" t="s">
        <v>156</v>
      </c>
    </row>
    <row r="75">
      <c r="A75" s="7">
        <v>74.0</v>
      </c>
      <c r="B75" s="8">
        <v>12.0</v>
      </c>
      <c r="C75" s="8">
        <v>24.0</v>
      </c>
      <c r="D75" s="8">
        <v>28.0</v>
      </c>
      <c r="E75" s="8">
        <v>30.0</v>
      </c>
      <c r="F75" s="8">
        <v>36.0</v>
      </c>
      <c r="G75" s="8">
        <v>39.0</v>
      </c>
      <c r="H75" s="9">
        <v>15.0</v>
      </c>
      <c r="I75" s="4">
        <v>43118.0</v>
      </c>
      <c r="J75" s="5" t="s">
        <v>157</v>
      </c>
      <c r="K75" s="13" t="s">
        <v>158</v>
      </c>
    </row>
    <row r="76">
      <c r="A76" s="7">
        <v>75.0</v>
      </c>
      <c r="B76" s="8">
        <v>2.0</v>
      </c>
      <c r="C76" s="8">
        <v>7.0</v>
      </c>
      <c r="D76" s="8">
        <v>15.0</v>
      </c>
      <c r="E76" s="8">
        <v>16.0</v>
      </c>
      <c r="F76" s="8">
        <v>41.0</v>
      </c>
      <c r="G76" s="8">
        <v>45.0</v>
      </c>
      <c r="H76" s="9">
        <v>19.0</v>
      </c>
      <c r="I76" s="4">
        <v>43120.0</v>
      </c>
      <c r="J76" s="5" t="s">
        <v>159</v>
      </c>
      <c r="K76" s="10" t="s">
        <v>160</v>
      </c>
    </row>
    <row r="77">
      <c r="A77" s="7">
        <v>76.0</v>
      </c>
      <c r="B77" s="8">
        <v>3.0</v>
      </c>
      <c r="C77" s="8">
        <v>10.0</v>
      </c>
      <c r="D77" s="8">
        <v>15.0</v>
      </c>
      <c r="E77" s="8">
        <v>23.0</v>
      </c>
      <c r="F77" s="8">
        <v>41.0</v>
      </c>
      <c r="G77" s="8">
        <v>53.0</v>
      </c>
      <c r="H77" s="9">
        <v>35.0</v>
      </c>
      <c r="I77" s="4">
        <v>43123.0</v>
      </c>
      <c r="J77" s="5" t="s">
        <v>161</v>
      </c>
      <c r="K77" s="11" t="s">
        <v>162</v>
      </c>
    </row>
    <row r="78">
      <c r="A78" s="7">
        <v>77.0</v>
      </c>
      <c r="B78" s="8">
        <v>1.0</v>
      </c>
      <c r="C78" s="8">
        <v>10.0</v>
      </c>
      <c r="D78" s="8">
        <v>30.0</v>
      </c>
      <c r="E78" s="8">
        <v>44.0</v>
      </c>
      <c r="F78" s="8">
        <v>45.0</v>
      </c>
      <c r="G78" s="8">
        <v>50.0</v>
      </c>
      <c r="H78" s="9">
        <v>4.0</v>
      </c>
      <c r="I78" s="4">
        <v>43125.0</v>
      </c>
      <c r="J78" s="5" t="s">
        <v>163</v>
      </c>
      <c r="K78" s="10" t="s">
        <v>164</v>
      </c>
    </row>
    <row r="79">
      <c r="A79" s="7">
        <v>78.0</v>
      </c>
      <c r="B79" s="8">
        <v>21.0</v>
      </c>
      <c r="C79" s="8">
        <v>26.0</v>
      </c>
      <c r="D79" s="8">
        <v>36.0</v>
      </c>
      <c r="E79" s="8">
        <v>38.0</v>
      </c>
      <c r="F79" s="8">
        <v>40.0</v>
      </c>
      <c r="G79" s="8">
        <v>50.0</v>
      </c>
      <c r="H79" s="9">
        <v>11.0</v>
      </c>
      <c r="I79" s="4">
        <v>43127.0</v>
      </c>
      <c r="J79" s="5" t="s">
        <v>165</v>
      </c>
      <c r="K79" s="11" t="s">
        <v>166</v>
      </c>
    </row>
    <row r="80">
      <c r="A80" s="7">
        <v>79.0</v>
      </c>
      <c r="B80" s="8">
        <v>15.0</v>
      </c>
      <c r="C80" s="8">
        <v>19.0</v>
      </c>
      <c r="D80" s="8">
        <v>24.0</v>
      </c>
      <c r="E80" s="8">
        <v>51.0</v>
      </c>
      <c r="F80" s="8">
        <v>53.0</v>
      </c>
      <c r="G80" s="8">
        <v>55.0</v>
      </c>
      <c r="H80" s="9">
        <v>29.0</v>
      </c>
      <c r="I80" s="4">
        <v>43130.0</v>
      </c>
      <c r="J80" s="5" t="s">
        <v>167</v>
      </c>
      <c r="K80" s="12" t="s">
        <v>168</v>
      </c>
    </row>
    <row r="81">
      <c r="A81" s="7">
        <v>80.0</v>
      </c>
      <c r="B81" s="8">
        <v>1.0</v>
      </c>
      <c r="C81" s="8">
        <v>7.0</v>
      </c>
      <c r="D81" s="8">
        <v>8.0</v>
      </c>
      <c r="E81" s="8">
        <v>9.0</v>
      </c>
      <c r="F81" s="8">
        <v>39.0</v>
      </c>
      <c r="G81" s="8">
        <v>43.0</v>
      </c>
      <c r="H81" s="9">
        <v>52.0</v>
      </c>
      <c r="I81" s="4">
        <v>43132.0</v>
      </c>
      <c r="J81" s="5" t="s">
        <v>169</v>
      </c>
      <c r="K81" s="11" t="s">
        <v>170</v>
      </c>
    </row>
    <row r="82">
      <c r="A82" s="7">
        <v>81.0</v>
      </c>
      <c r="B82" s="8">
        <v>12.0</v>
      </c>
      <c r="C82" s="8">
        <v>29.0</v>
      </c>
      <c r="D82" s="8">
        <v>42.0</v>
      </c>
      <c r="E82" s="8">
        <v>48.0</v>
      </c>
      <c r="F82" s="8">
        <v>54.0</v>
      </c>
      <c r="G82" s="8">
        <v>55.0</v>
      </c>
      <c r="H82" s="9">
        <v>18.0</v>
      </c>
      <c r="I82" s="4">
        <v>43134.0</v>
      </c>
      <c r="J82" s="5" t="s">
        <v>167</v>
      </c>
      <c r="K82" s="12" t="s">
        <v>171</v>
      </c>
    </row>
    <row r="83">
      <c r="A83" s="7">
        <v>82.0</v>
      </c>
      <c r="B83" s="8">
        <v>1.0</v>
      </c>
      <c r="C83" s="8">
        <v>20.0</v>
      </c>
      <c r="D83" s="8">
        <v>29.0</v>
      </c>
      <c r="E83" s="8">
        <v>31.0</v>
      </c>
      <c r="F83" s="8">
        <v>43.0</v>
      </c>
      <c r="G83" s="8">
        <v>53.0</v>
      </c>
      <c r="H83" s="9">
        <v>16.0</v>
      </c>
      <c r="I83" s="4">
        <v>43137.0</v>
      </c>
      <c r="J83" s="5" t="s">
        <v>167</v>
      </c>
      <c r="K83" s="13" t="s">
        <v>172</v>
      </c>
    </row>
    <row r="84">
      <c r="A84" s="7">
        <v>83.0</v>
      </c>
      <c r="B84" s="8">
        <v>21.0</v>
      </c>
      <c r="C84" s="8">
        <v>22.0</v>
      </c>
      <c r="D84" s="8">
        <v>29.0</v>
      </c>
      <c r="E84" s="8">
        <v>37.0</v>
      </c>
      <c r="F84" s="8">
        <v>41.0</v>
      </c>
      <c r="G84" s="8">
        <v>50.0</v>
      </c>
      <c r="H84" s="9">
        <v>33.0</v>
      </c>
      <c r="I84" s="4">
        <v>43139.0</v>
      </c>
      <c r="J84" s="5" t="s">
        <v>173</v>
      </c>
      <c r="K84" s="10" t="s">
        <v>174</v>
      </c>
    </row>
    <row r="85">
      <c r="A85" s="7">
        <v>84.0</v>
      </c>
      <c r="B85" s="8">
        <v>8.0</v>
      </c>
      <c r="C85" s="8">
        <v>10.0</v>
      </c>
      <c r="D85" s="8">
        <v>19.0</v>
      </c>
      <c r="E85" s="8">
        <v>25.0</v>
      </c>
      <c r="F85" s="8">
        <v>36.0</v>
      </c>
      <c r="G85" s="8">
        <v>46.0</v>
      </c>
      <c r="H85" s="9">
        <v>7.0</v>
      </c>
      <c r="I85" s="4">
        <v>43141.0</v>
      </c>
      <c r="J85" s="5" t="s">
        <v>167</v>
      </c>
      <c r="K85" s="13" t="s">
        <v>175</v>
      </c>
    </row>
    <row r="86">
      <c r="A86" s="7">
        <v>85.0</v>
      </c>
      <c r="B86" s="8">
        <v>9.0</v>
      </c>
      <c r="C86" s="8">
        <v>25.0</v>
      </c>
      <c r="D86" s="8">
        <v>26.0</v>
      </c>
      <c r="E86" s="8">
        <v>30.0</v>
      </c>
      <c r="F86" s="8">
        <v>42.0</v>
      </c>
      <c r="G86" s="8">
        <v>54.0</v>
      </c>
      <c r="H86" s="9">
        <v>19.0</v>
      </c>
      <c r="I86" s="4">
        <v>43144.0</v>
      </c>
      <c r="J86" s="5" t="s">
        <v>176</v>
      </c>
      <c r="K86" s="10" t="s">
        <v>177</v>
      </c>
    </row>
    <row r="87">
      <c r="A87" s="7">
        <v>86.0</v>
      </c>
      <c r="B87" s="8">
        <v>16.0</v>
      </c>
      <c r="C87" s="8">
        <v>22.0</v>
      </c>
      <c r="D87" s="8">
        <v>28.0</v>
      </c>
      <c r="E87" s="8">
        <v>29.0</v>
      </c>
      <c r="F87" s="8">
        <v>35.0</v>
      </c>
      <c r="G87" s="8">
        <v>43.0</v>
      </c>
      <c r="H87" s="9">
        <v>45.0</v>
      </c>
      <c r="I87" s="4">
        <v>43148.0</v>
      </c>
      <c r="J87" s="5" t="s">
        <v>178</v>
      </c>
      <c r="K87" s="11" t="s">
        <v>179</v>
      </c>
    </row>
    <row r="88">
      <c r="A88" s="7">
        <v>87.0</v>
      </c>
      <c r="B88" s="8">
        <v>1.0</v>
      </c>
      <c r="C88" s="8">
        <v>2.0</v>
      </c>
      <c r="D88" s="8">
        <v>21.0</v>
      </c>
      <c r="E88" s="8">
        <v>24.0</v>
      </c>
      <c r="F88" s="8">
        <v>50.0</v>
      </c>
      <c r="G88" s="8">
        <v>52.0</v>
      </c>
      <c r="H88" s="9">
        <v>33.0</v>
      </c>
      <c r="I88" s="4">
        <v>43151.0</v>
      </c>
      <c r="J88" s="5" t="s">
        <v>180</v>
      </c>
      <c r="K88" s="10" t="s">
        <v>181</v>
      </c>
    </row>
    <row r="89">
      <c r="A89" s="7">
        <v>88.0</v>
      </c>
      <c r="B89" s="8">
        <v>11.0</v>
      </c>
      <c r="C89" s="8">
        <v>14.0</v>
      </c>
      <c r="D89" s="8">
        <v>32.0</v>
      </c>
      <c r="E89" s="8">
        <v>36.0</v>
      </c>
      <c r="F89" s="8">
        <v>42.0</v>
      </c>
      <c r="G89" s="8">
        <v>48.0</v>
      </c>
      <c r="H89" s="9">
        <v>20.0</v>
      </c>
      <c r="I89" s="4">
        <v>43153.0</v>
      </c>
      <c r="J89" s="5" t="s">
        <v>167</v>
      </c>
      <c r="K89" s="13" t="s">
        <v>182</v>
      </c>
    </row>
    <row r="90">
      <c r="A90" s="7">
        <v>89.0</v>
      </c>
      <c r="B90" s="8">
        <v>5.0</v>
      </c>
      <c r="C90" s="8">
        <v>7.0</v>
      </c>
      <c r="D90" s="8">
        <v>24.0</v>
      </c>
      <c r="E90" s="8">
        <v>32.0</v>
      </c>
      <c r="F90" s="8">
        <v>45.0</v>
      </c>
      <c r="G90" s="8">
        <v>49.0</v>
      </c>
      <c r="H90" s="9">
        <v>1.0</v>
      </c>
      <c r="I90" s="4">
        <v>43155.0</v>
      </c>
      <c r="J90" s="5" t="s">
        <v>183</v>
      </c>
      <c r="K90" s="10" t="s">
        <v>184</v>
      </c>
    </row>
    <row r="91">
      <c r="A91" s="7">
        <v>90.0</v>
      </c>
      <c r="B91" s="8">
        <v>8.0</v>
      </c>
      <c r="C91" s="8">
        <v>16.0</v>
      </c>
      <c r="D91" s="8">
        <v>23.0</v>
      </c>
      <c r="E91" s="8">
        <v>28.0</v>
      </c>
      <c r="F91" s="8">
        <v>44.0</v>
      </c>
      <c r="G91" s="8">
        <v>49.0</v>
      </c>
      <c r="H91" s="9">
        <v>45.0</v>
      </c>
      <c r="I91" s="4">
        <v>43158.0</v>
      </c>
      <c r="J91" s="5" t="s">
        <v>185</v>
      </c>
      <c r="K91" s="11" t="s">
        <v>186</v>
      </c>
    </row>
    <row r="92">
      <c r="A92" s="7">
        <v>91.0</v>
      </c>
      <c r="B92" s="8">
        <v>4.0</v>
      </c>
      <c r="C92" s="8">
        <v>5.0</v>
      </c>
      <c r="D92" s="8">
        <v>7.0</v>
      </c>
      <c r="E92" s="8">
        <v>17.0</v>
      </c>
      <c r="F92" s="8">
        <v>20.0</v>
      </c>
      <c r="G92" s="8">
        <v>38.0</v>
      </c>
      <c r="H92" s="9">
        <v>9.0</v>
      </c>
      <c r="I92" s="4">
        <v>43160.0</v>
      </c>
      <c r="J92" s="5" t="s">
        <v>187</v>
      </c>
      <c r="K92" s="10" t="s">
        <v>188</v>
      </c>
    </row>
    <row r="93">
      <c r="A93" s="7">
        <v>92.0</v>
      </c>
      <c r="B93" s="8">
        <v>4.0</v>
      </c>
      <c r="C93" s="8">
        <v>10.0</v>
      </c>
      <c r="D93" s="8">
        <v>32.0</v>
      </c>
      <c r="E93" s="8">
        <v>37.0</v>
      </c>
      <c r="F93" s="8">
        <v>47.0</v>
      </c>
      <c r="G93" s="8">
        <v>52.0</v>
      </c>
      <c r="H93" s="9">
        <v>49.0</v>
      </c>
      <c r="I93" s="4">
        <v>43162.0</v>
      </c>
      <c r="J93" s="5" t="s">
        <v>189</v>
      </c>
      <c r="K93" s="11" t="s">
        <v>190</v>
      </c>
    </row>
    <row r="94">
      <c r="A94" s="7">
        <v>93.0</v>
      </c>
      <c r="B94" s="8">
        <v>2.0</v>
      </c>
      <c r="C94" s="8">
        <v>6.0</v>
      </c>
      <c r="D94" s="8">
        <v>13.0</v>
      </c>
      <c r="E94" s="8">
        <v>22.0</v>
      </c>
      <c r="F94" s="8">
        <v>40.0</v>
      </c>
      <c r="G94" s="8">
        <v>48.0</v>
      </c>
      <c r="H94" s="9">
        <v>12.0</v>
      </c>
      <c r="I94" s="4">
        <v>43165.0</v>
      </c>
      <c r="J94" s="5" t="s">
        <v>191</v>
      </c>
      <c r="K94" s="10" t="s">
        <v>192</v>
      </c>
    </row>
    <row r="95">
      <c r="A95" s="7">
        <v>94.0</v>
      </c>
      <c r="B95" s="8">
        <v>14.0</v>
      </c>
      <c r="C95" s="8">
        <v>17.0</v>
      </c>
      <c r="D95" s="8">
        <v>18.0</v>
      </c>
      <c r="E95" s="8">
        <v>23.0</v>
      </c>
      <c r="F95" s="8">
        <v>41.0</v>
      </c>
      <c r="G95" s="8">
        <v>52.0</v>
      </c>
      <c r="H95" s="9">
        <v>40.0</v>
      </c>
      <c r="I95" s="4">
        <v>43167.0</v>
      </c>
      <c r="J95" s="5" t="s">
        <v>193</v>
      </c>
      <c r="K95" s="11" t="s">
        <v>194</v>
      </c>
    </row>
    <row r="96">
      <c r="A96" s="7">
        <v>95.0</v>
      </c>
      <c r="B96" s="8">
        <v>9.0</v>
      </c>
      <c r="C96" s="8">
        <v>20.0</v>
      </c>
      <c r="D96" s="8">
        <v>27.0</v>
      </c>
      <c r="E96" s="8">
        <v>31.0</v>
      </c>
      <c r="F96" s="8">
        <v>48.0</v>
      </c>
      <c r="G96" s="8">
        <v>49.0</v>
      </c>
      <c r="H96" s="9">
        <v>42.0</v>
      </c>
      <c r="I96" s="4">
        <v>43169.0</v>
      </c>
      <c r="J96" s="5" t="s">
        <v>167</v>
      </c>
      <c r="K96" s="12" t="s">
        <v>195</v>
      </c>
    </row>
    <row r="97">
      <c r="A97" s="7">
        <v>96.0</v>
      </c>
      <c r="B97" s="8">
        <v>1.0</v>
      </c>
      <c r="C97" s="8">
        <v>2.0</v>
      </c>
      <c r="D97" s="8">
        <v>17.0</v>
      </c>
      <c r="E97" s="8">
        <v>46.0</v>
      </c>
      <c r="F97" s="8">
        <v>47.0</v>
      </c>
      <c r="G97" s="8">
        <v>49.0</v>
      </c>
      <c r="H97" s="9">
        <v>44.0</v>
      </c>
      <c r="I97" s="4">
        <v>43172.0</v>
      </c>
      <c r="J97" s="5" t="s">
        <v>196</v>
      </c>
      <c r="K97" s="11" t="s">
        <v>197</v>
      </c>
    </row>
    <row r="98">
      <c r="A98" s="7">
        <v>97.0</v>
      </c>
      <c r="B98" s="8">
        <v>15.0</v>
      </c>
      <c r="C98" s="8">
        <v>20.0</v>
      </c>
      <c r="D98" s="8">
        <v>23.0</v>
      </c>
      <c r="E98" s="8">
        <v>28.0</v>
      </c>
      <c r="F98" s="8">
        <v>39.0</v>
      </c>
      <c r="G98" s="8">
        <v>49.0</v>
      </c>
      <c r="H98" s="9">
        <v>19.0</v>
      </c>
      <c r="I98" s="4">
        <v>43174.0</v>
      </c>
      <c r="J98" s="5" t="s">
        <v>198</v>
      </c>
      <c r="K98" s="10" t="s">
        <v>199</v>
      </c>
    </row>
    <row r="99">
      <c r="A99" s="7">
        <v>98.0</v>
      </c>
      <c r="B99" s="8">
        <v>3.0</v>
      </c>
      <c r="C99" s="8">
        <v>14.0</v>
      </c>
      <c r="D99" s="8">
        <v>28.0</v>
      </c>
      <c r="E99" s="8">
        <v>35.0</v>
      </c>
      <c r="F99" s="8">
        <v>50.0</v>
      </c>
      <c r="G99" s="8">
        <v>52.0</v>
      </c>
      <c r="H99" s="9">
        <v>29.0</v>
      </c>
      <c r="I99" s="4">
        <v>43176.0</v>
      </c>
      <c r="J99" s="5" t="s">
        <v>200</v>
      </c>
      <c r="K99" s="11" t="s">
        <v>201</v>
      </c>
    </row>
    <row r="100">
      <c r="A100" s="7">
        <v>99.0</v>
      </c>
      <c r="B100" s="8">
        <v>11.0</v>
      </c>
      <c r="C100" s="8">
        <v>40.0</v>
      </c>
      <c r="D100" s="8">
        <v>43.0</v>
      </c>
      <c r="E100" s="8">
        <v>46.0</v>
      </c>
      <c r="F100" s="8">
        <v>49.0</v>
      </c>
      <c r="G100" s="8">
        <v>55.0</v>
      </c>
      <c r="H100" s="9">
        <v>37.0</v>
      </c>
      <c r="I100" s="4">
        <v>43179.0</v>
      </c>
      <c r="J100" s="5" t="s">
        <v>167</v>
      </c>
      <c r="K100" s="12" t="s">
        <v>202</v>
      </c>
    </row>
    <row r="101">
      <c r="A101" s="7">
        <v>100.0</v>
      </c>
      <c r="B101" s="8">
        <v>1.0</v>
      </c>
      <c r="C101" s="8">
        <v>8.0</v>
      </c>
      <c r="D101" s="8">
        <v>24.0</v>
      </c>
      <c r="E101" s="8">
        <v>33.0</v>
      </c>
      <c r="F101" s="8">
        <v>34.0</v>
      </c>
      <c r="G101" s="8">
        <v>41.0</v>
      </c>
      <c r="H101" s="9">
        <v>20.0</v>
      </c>
      <c r="I101" s="4">
        <v>43181.0</v>
      </c>
      <c r="J101" s="5" t="s">
        <v>203</v>
      </c>
      <c r="K101" s="11" t="s">
        <v>204</v>
      </c>
    </row>
    <row r="102">
      <c r="A102" s="7">
        <v>101.0</v>
      </c>
      <c r="B102" s="8">
        <v>1.0</v>
      </c>
      <c r="C102" s="8">
        <v>30.0</v>
      </c>
      <c r="D102" s="8">
        <v>38.0</v>
      </c>
      <c r="E102" s="8">
        <v>45.0</v>
      </c>
      <c r="F102" s="8">
        <v>48.0</v>
      </c>
      <c r="G102" s="8">
        <v>50.0</v>
      </c>
      <c r="H102" s="9">
        <v>12.0</v>
      </c>
      <c r="I102" s="4">
        <v>43183.0</v>
      </c>
      <c r="J102" s="5" t="s">
        <v>205</v>
      </c>
      <c r="K102" s="10" t="s">
        <v>206</v>
      </c>
    </row>
    <row r="103">
      <c r="A103" s="7">
        <v>102.0</v>
      </c>
      <c r="B103" s="8">
        <v>9.0</v>
      </c>
      <c r="C103" s="8">
        <v>13.0</v>
      </c>
      <c r="D103" s="8">
        <v>14.0</v>
      </c>
      <c r="E103" s="8">
        <v>15.0</v>
      </c>
      <c r="F103" s="8">
        <v>54.0</v>
      </c>
      <c r="G103" s="8">
        <v>55.0</v>
      </c>
      <c r="H103" s="9">
        <v>22.0</v>
      </c>
      <c r="I103" s="4">
        <v>43186.0</v>
      </c>
      <c r="J103" s="5" t="s">
        <v>167</v>
      </c>
      <c r="K103" s="13" t="s">
        <v>207</v>
      </c>
    </row>
    <row r="104">
      <c r="A104" s="7">
        <v>103.0</v>
      </c>
      <c r="B104" s="8">
        <v>5.0</v>
      </c>
      <c r="C104" s="8">
        <v>27.0</v>
      </c>
      <c r="D104" s="8">
        <v>35.0</v>
      </c>
      <c r="E104" s="8">
        <v>39.0</v>
      </c>
      <c r="F104" s="8">
        <v>46.0</v>
      </c>
      <c r="G104" s="8">
        <v>52.0</v>
      </c>
      <c r="H104" s="9">
        <v>31.0</v>
      </c>
      <c r="I104" s="4">
        <v>43188.0</v>
      </c>
      <c r="J104" s="5" t="s">
        <v>167</v>
      </c>
      <c r="K104" s="12" t="s">
        <v>208</v>
      </c>
    </row>
    <row r="105">
      <c r="A105" s="7">
        <v>104.0</v>
      </c>
      <c r="B105" s="8">
        <v>3.0</v>
      </c>
      <c r="C105" s="8">
        <v>7.0</v>
      </c>
      <c r="D105" s="8">
        <v>31.0</v>
      </c>
      <c r="E105" s="8">
        <v>43.0</v>
      </c>
      <c r="F105" s="8">
        <v>51.0</v>
      </c>
      <c r="G105" s="8">
        <v>53.0</v>
      </c>
      <c r="H105" s="9">
        <v>26.0</v>
      </c>
      <c r="I105" s="4">
        <v>43190.0</v>
      </c>
      <c r="J105" s="5" t="s">
        <v>209</v>
      </c>
      <c r="K105" s="11" t="s">
        <v>210</v>
      </c>
    </row>
    <row r="106">
      <c r="A106" s="7">
        <v>105.0</v>
      </c>
      <c r="B106" s="8">
        <v>20.0</v>
      </c>
      <c r="C106" s="8">
        <v>21.0</v>
      </c>
      <c r="D106" s="8">
        <v>39.0</v>
      </c>
      <c r="E106" s="8">
        <v>42.0</v>
      </c>
      <c r="F106" s="8">
        <v>51.0</v>
      </c>
      <c r="G106" s="8">
        <v>53.0</v>
      </c>
      <c r="H106" s="9">
        <v>1.0</v>
      </c>
      <c r="I106" s="4">
        <v>43193.0</v>
      </c>
      <c r="J106" s="5" t="s">
        <v>211</v>
      </c>
      <c r="K106" s="10" t="s">
        <v>212</v>
      </c>
    </row>
    <row r="107">
      <c r="A107" s="7">
        <v>106.0</v>
      </c>
      <c r="B107" s="8">
        <v>7.0</v>
      </c>
      <c r="C107" s="8">
        <v>9.0</v>
      </c>
      <c r="D107" s="8">
        <v>17.0</v>
      </c>
      <c r="E107" s="8">
        <v>25.0</v>
      </c>
      <c r="F107" s="8">
        <v>31.0</v>
      </c>
      <c r="G107" s="8">
        <v>32.0</v>
      </c>
      <c r="H107" s="9">
        <v>6.0</v>
      </c>
      <c r="I107" s="4">
        <v>43195.0</v>
      </c>
      <c r="J107" s="5" t="s">
        <v>213</v>
      </c>
      <c r="K107" s="11" t="s">
        <v>214</v>
      </c>
    </row>
    <row r="108">
      <c r="A108" s="7">
        <v>107.0</v>
      </c>
      <c r="B108" s="8">
        <v>12.0</v>
      </c>
      <c r="C108" s="8">
        <v>24.0</v>
      </c>
      <c r="D108" s="8">
        <v>33.0</v>
      </c>
      <c r="E108" s="8">
        <v>34.0</v>
      </c>
      <c r="F108" s="8">
        <v>36.0</v>
      </c>
      <c r="G108" s="8">
        <v>53.0</v>
      </c>
      <c r="H108" s="9">
        <v>5.0</v>
      </c>
      <c r="I108" s="4">
        <v>43197.0</v>
      </c>
      <c r="J108" s="5" t="s">
        <v>215</v>
      </c>
      <c r="K108" s="10" t="s">
        <v>216</v>
      </c>
    </row>
    <row r="109">
      <c r="A109" s="7">
        <v>108.0</v>
      </c>
      <c r="B109" s="8">
        <v>1.0</v>
      </c>
      <c r="C109" s="8">
        <v>22.0</v>
      </c>
      <c r="D109" s="8">
        <v>25.0</v>
      </c>
      <c r="E109" s="8">
        <v>31.0</v>
      </c>
      <c r="F109" s="8">
        <v>36.0</v>
      </c>
      <c r="G109" s="8">
        <v>48.0</v>
      </c>
      <c r="H109" s="9">
        <v>41.0</v>
      </c>
      <c r="I109" s="4">
        <v>43200.0</v>
      </c>
      <c r="J109" s="5" t="s">
        <v>217</v>
      </c>
      <c r="K109" s="11" t="s">
        <v>218</v>
      </c>
    </row>
    <row r="110">
      <c r="A110" s="7">
        <v>109.0</v>
      </c>
      <c r="B110" s="8">
        <v>4.0</v>
      </c>
      <c r="C110" s="8">
        <v>29.0</v>
      </c>
      <c r="D110" s="8">
        <v>35.0</v>
      </c>
      <c r="E110" s="8">
        <v>37.0</v>
      </c>
      <c r="F110" s="8">
        <v>42.0</v>
      </c>
      <c r="G110" s="8">
        <v>54.0</v>
      </c>
      <c r="H110" s="9">
        <v>19.0</v>
      </c>
      <c r="I110" s="4">
        <v>43202.0</v>
      </c>
      <c r="J110" s="5" t="s">
        <v>219</v>
      </c>
      <c r="K110" s="10" t="s">
        <v>220</v>
      </c>
    </row>
    <row r="111">
      <c r="A111" s="7">
        <v>110.0</v>
      </c>
      <c r="B111" s="8">
        <v>2.0</v>
      </c>
      <c r="C111" s="8">
        <v>10.0</v>
      </c>
      <c r="D111" s="8">
        <v>14.0</v>
      </c>
      <c r="E111" s="8">
        <v>26.0</v>
      </c>
      <c r="F111" s="8">
        <v>45.0</v>
      </c>
      <c r="G111" s="8">
        <v>54.0</v>
      </c>
      <c r="H111" s="9">
        <v>20.0</v>
      </c>
      <c r="I111" s="4">
        <v>43204.0</v>
      </c>
      <c r="J111" s="5" t="s">
        <v>221</v>
      </c>
      <c r="K111" s="11" t="s">
        <v>222</v>
      </c>
    </row>
    <row r="112">
      <c r="A112" s="7">
        <v>111.0</v>
      </c>
      <c r="B112" s="8">
        <v>2.0</v>
      </c>
      <c r="C112" s="8">
        <v>10.0</v>
      </c>
      <c r="D112" s="8">
        <v>26.0</v>
      </c>
      <c r="E112" s="8">
        <v>27.0</v>
      </c>
      <c r="F112" s="8">
        <v>31.0</v>
      </c>
      <c r="G112" s="8">
        <v>38.0</v>
      </c>
      <c r="H112" s="9">
        <v>39.0</v>
      </c>
      <c r="I112" s="4">
        <v>43207.0</v>
      </c>
      <c r="J112" s="5" t="s">
        <v>167</v>
      </c>
      <c r="K112" s="12" t="s">
        <v>223</v>
      </c>
    </row>
    <row r="113">
      <c r="A113" s="7">
        <v>112.0</v>
      </c>
      <c r="B113" s="8">
        <v>4.0</v>
      </c>
      <c r="C113" s="8">
        <v>17.0</v>
      </c>
      <c r="D113" s="8">
        <v>19.0</v>
      </c>
      <c r="E113" s="8">
        <v>35.0</v>
      </c>
      <c r="F113" s="8">
        <v>49.0</v>
      </c>
      <c r="G113" s="8">
        <v>55.0</v>
      </c>
      <c r="H113" s="9">
        <v>9.0</v>
      </c>
      <c r="I113" s="4">
        <v>43209.0</v>
      </c>
      <c r="J113" s="5" t="s">
        <v>167</v>
      </c>
      <c r="K113" s="13" t="s">
        <v>224</v>
      </c>
    </row>
    <row r="114">
      <c r="A114" s="7">
        <v>113.0</v>
      </c>
      <c r="B114" s="8">
        <v>16.0</v>
      </c>
      <c r="C114" s="8">
        <v>18.0</v>
      </c>
      <c r="D114" s="8">
        <v>41.0</v>
      </c>
      <c r="E114" s="8">
        <v>43.0</v>
      </c>
      <c r="F114" s="8">
        <v>46.0</v>
      </c>
      <c r="G114" s="8">
        <v>55.0</v>
      </c>
      <c r="H114" s="9">
        <v>35.0</v>
      </c>
      <c r="I114" s="4">
        <v>43211.0</v>
      </c>
      <c r="J114" s="5" t="s">
        <v>167</v>
      </c>
      <c r="K114" s="12" t="s">
        <v>225</v>
      </c>
    </row>
    <row r="115">
      <c r="A115" s="7">
        <v>114.0</v>
      </c>
      <c r="B115" s="8">
        <v>17.0</v>
      </c>
      <c r="C115" s="8">
        <v>18.0</v>
      </c>
      <c r="D115" s="8">
        <v>24.0</v>
      </c>
      <c r="E115" s="8">
        <v>40.0</v>
      </c>
      <c r="F115" s="8">
        <v>41.0</v>
      </c>
      <c r="G115" s="8">
        <v>46.0</v>
      </c>
      <c r="H115" s="9">
        <v>6.0</v>
      </c>
      <c r="I115" s="4">
        <v>43214.0</v>
      </c>
      <c r="J115" s="5" t="s">
        <v>226</v>
      </c>
      <c r="K115" s="11" t="s">
        <v>227</v>
      </c>
    </row>
    <row r="116">
      <c r="A116" s="7">
        <v>115.0</v>
      </c>
      <c r="B116" s="8">
        <v>23.0</v>
      </c>
      <c r="C116" s="8">
        <v>26.0</v>
      </c>
      <c r="D116" s="8">
        <v>29.0</v>
      </c>
      <c r="E116" s="8">
        <v>31.0</v>
      </c>
      <c r="F116" s="8">
        <v>36.0</v>
      </c>
      <c r="G116" s="8">
        <v>54.0</v>
      </c>
      <c r="H116" s="9">
        <v>55.0</v>
      </c>
      <c r="I116" s="4">
        <v>43216.0</v>
      </c>
      <c r="J116" s="5" t="s">
        <v>228</v>
      </c>
      <c r="K116" s="10" t="s">
        <v>229</v>
      </c>
    </row>
    <row r="117">
      <c r="A117" s="7">
        <v>116.0</v>
      </c>
      <c r="B117" s="8">
        <v>12.0</v>
      </c>
      <c r="C117" s="8">
        <v>19.0</v>
      </c>
      <c r="D117" s="8">
        <v>22.0</v>
      </c>
      <c r="E117" s="8">
        <v>29.0</v>
      </c>
      <c r="F117" s="8">
        <v>32.0</v>
      </c>
      <c r="G117" s="8">
        <v>46.0</v>
      </c>
      <c r="H117" s="9">
        <v>25.0</v>
      </c>
      <c r="I117" s="4">
        <v>43218.0</v>
      </c>
      <c r="J117" s="5" t="s">
        <v>230</v>
      </c>
      <c r="K117" s="11" t="s">
        <v>231</v>
      </c>
    </row>
    <row r="118">
      <c r="A118" s="7">
        <v>117.0</v>
      </c>
      <c r="B118" s="8">
        <v>1.0</v>
      </c>
      <c r="C118" s="8">
        <v>7.0</v>
      </c>
      <c r="D118" s="8">
        <v>20.0</v>
      </c>
      <c r="E118" s="8">
        <v>23.0</v>
      </c>
      <c r="F118" s="8">
        <v>25.0</v>
      </c>
      <c r="G118" s="8">
        <v>38.0</v>
      </c>
      <c r="H118" s="9">
        <v>14.0</v>
      </c>
      <c r="I118" s="4">
        <v>43221.0</v>
      </c>
      <c r="J118" s="5" t="s">
        <v>232</v>
      </c>
      <c r="K118" s="10" t="s">
        <v>233</v>
      </c>
    </row>
    <row r="119">
      <c r="A119" s="7">
        <v>118.0</v>
      </c>
      <c r="B119" s="8">
        <v>23.0</v>
      </c>
      <c r="C119" s="8">
        <v>27.0</v>
      </c>
      <c r="D119" s="8">
        <v>33.0</v>
      </c>
      <c r="E119" s="8">
        <v>37.0</v>
      </c>
      <c r="F119" s="8">
        <v>39.0</v>
      </c>
      <c r="G119" s="8">
        <v>49.0</v>
      </c>
      <c r="H119" s="9">
        <v>44.0</v>
      </c>
      <c r="I119" s="4">
        <v>43223.0</v>
      </c>
      <c r="J119" s="5" t="s">
        <v>167</v>
      </c>
      <c r="K119" s="13" t="s">
        <v>234</v>
      </c>
    </row>
    <row r="120">
      <c r="A120" s="7">
        <v>119.0</v>
      </c>
      <c r="B120" s="8">
        <v>16.0</v>
      </c>
      <c r="C120" s="8">
        <v>32.0</v>
      </c>
      <c r="D120" s="8">
        <v>33.0</v>
      </c>
      <c r="E120" s="8">
        <v>37.0</v>
      </c>
      <c r="F120" s="8">
        <v>40.0</v>
      </c>
      <c r="G120" s="8">
        <v>48.0</v>
      </c>
      <c r="H120" s="9">
        <v>15.0</v>
      </c>
      <c r="I120" s="4">
        <v>43225.0</v>
      </c>
      <c r="J120" s="5" t="s">
        <v>235</v>
      </c>
      <c r="K120" s="10" t="s">
        <v>236</v>
      </c>
    </row>
    <row r="121">
      <c r="A121" s="7">
        <v>120.0</v>
      </c>
      <c r="B121" s="8">
        <v>3.0</v>
      </c>
      <c r="C121" s="8">
        <v>16.0</v>
      </c>
      <c r="D121" s="8">
        <v>23.0</v>
      </c>
      <c r="E121" s="8">
        <v>24.0</v>
      </c>
      <c r="F121" s="8">
        <v>38.0</v>
      </c>
      <c r="G121" s="8">
        <v>42.0</v>
      </c>
      <c r="H121" s="9">
        <v>48.0</v>
      </c>
      <c r="I121" s="4">
        <v>43228.0</v>
      </c>
      <c r="J121" s="5" t="s">
        <v>237</v>
      </c>
      <c r="K121" s="11" t="s">
        <v>238</v>
      </c>
    </row>
    <row r="122">
      <c r="A122" s="7">
        <v>121.0</v>
      </c>
      <c r="B122" s="8">
        <v>2.0</v>
      </c>
      <c r="C122" s="8">
        <v>6.0</v>
      </c>
      <c r="D122" s="8">
        <v>8.0</v>
      </c>
      <c r="E122" s="8">
        <v>34.0</v>
      </c>
      <c r="F122" s="8">
        <v>39.0</v>
      </c>
      <c r="G122" s="8">
        <v>43.0</v>
      </c>
      <c r="H122" s="9">
        <v>11.0</v>
      </c>
      <c r="I122" s="4">
        <v>43230.0</v>
      </c>
      <c r="J122" s="5" t="s">
        <v>239</v>
      </c>
      <c r="K122" s="10" t="s">
        <v>240</v>
      </c>
    </row>
    <row r="123">
      <c r="A123" s="7">
        <v>122.0</v>
      </c>
      <c r="B123" s="8">
        <v>1.0</v>
      </c>
      <c r="C123" s="8">
        <v>9.0</v>
      </c>
      <c r="D123" s="8">
        <v>26.0</v>
      </c>
      <c r="E123" s="8">
        <v>38.0</v>
      </c>
      <c r="F123" s="8">
        <v>54.0</v>
      </c>
      <c r="G123" s="8">
        <v>55.0</v>
      </c>
      <c r="H123" s="9">
        <v>51.0</v>
      </c>
      <c r="I123" s="4">
        <v>43232.0</v>
      </c>
      <c r="J123" s="5" t="s">
        <v>241</v>
      </c>
      <c r="K123" s="11" t="s">
        <v>242</v>
      </c>
    </row>
    <row r="124">
      <c r="A124" s="7">
        <v>123.0</v>
      </c>
      <c r="B124" s="8">
        <v>3.0</v>
      </c>
      <c r="C124" s="8">
        <v>6.0</v>
      </c>
      <c r="D124" s="8">
        <v>29.0</v>
      </c>
      <c r="E124" s="8">
        <v>37.0</v>
      </c>
      <c r="F124" s="8">
        <v>44.0</v>
      </c>
      <c r="G124" s="8">
        <v>49.0</v>
      </c>
      <c r="H124" s="9">
        <v>24.0</v>
      </c>
      <c r="I124" s="4">
        <v>43235.0</v>
      </c>
      <c r="J124" s="5" t="s">
        <v>243</v>
      </c>
      <c r="K124" s="12" t="s">
        <v>244</v>
      </c>
    </row>
    <row r="125">
      <c r="A125" s="7">
        <v>124.0</v>
      </c>
      <c r="B125" s="8">
        <v>13.0</v>
      </c>
      <c r="C125" s="8">
        <v>31.0</v>
      </c>
      <c r="D125" s="8">
        <v>38.0</v>
      </c>
      <c r="E125" s="8">
        <v>45.0</v>
      </c>
      <c r="F125" s="8">
        <v>53.0</v>
      </c>
      <c r="G125" s="8">
        <v>55.0</v>
      </c>
      <c r="H125" s="9">
        <v>46.0</v>
      </c>
      <c r="I125" s="4">
        <v>43237.0</v>
      </c>
      <c r="J125" s="5" t="s">
        <v>245</v>
      </c>
      <c r="K125" s="11" t="s">
        <v>246</v>
      </c>
    </row>
    <row r="126">
      <c r="A126" s="7">
        <v>125.0</v>
      </c>
      <c r="B126" s="8">
        <v>33.0</v>
      </c>
      <c r="C126" s="8">
        <v>35.0</v>
      </c>
      <c r="D126" s="8">
        <v>45.0</v>
      </c>
      <c r="E126" s="8">
        <v>52.0</v>
      </c>
      <c r="F126" s="8">
        <v>53.0</v>
      </c>
      <c r="G126" s="8">
        <v>55.0</v>
      </c>
      <c r="H126" s="9">
        <v>25.0</v>
      </c>
      <c r="I126" s="4">
        <v>43239.0</v>
      </c>
      <c r="J126" s="5" t="s">
        <v>247</v>
      </c>
      <c r="K126" s="10" t="s">
        <v>248</v>
      </c>
    </row>
    <row r="127">
      <c r="A127" s="7">
        <v>126.0</v>
      </c>
      <c r="B127" s="8">
        <v>4.0</v>
      </c>
      <c r="C127" s="8">
        <v>5.0</v>
      </c>
      <c r="D127" s="8">
        <v>8.0</v>
      </c>
      <c r="E127" s="8">
        <v>17.0</v>
      </c>
      <c r="F127" s="8">
        <v>35.0</v>
      </c>
      <c r="G127" s="8">
        <v>47.0</v>
      </c>
      <c r="H127" s="9">
        <v>39.0</v>
      </c>
      <c r="I127" s="4">
        <v>43242.0</v>
      </c>
      <c r="J127" s="5" t="s">
        <v>249</v>
      </c>
      <c r="K127" s="13" t="s">
        <v>250</v>
      </c>
    </row>
    <row r="128">
      <c r="A128" s="7">
        <v>127.0</v>
      </c>
      <c r="B128" s="8">
        <v>24.0</v>
      </c>
      <c r="C128" s="8">
        <v>25.0</v>
      </c>
      <c r="D128" s="8">
        <v>26.0</v>
      </c>
      <c r="E128" s="8">
        <v>29.0</v>
      </c>
      <c r="F128" s="8">
        <v>36.0</v>
      </c>
      <c r="G128" s="8">
        <v>48.0</v>
      </c>
      <c r="H128" s="9">
        <v>40.0</v>
      </c>
      <c r="I128" s="4">
        <v>43244.0</v>
      </c>
      <c r="J128" s="5" t="s">
        <v>251</v>
      </c>
      <c r="K128" s="10" t="s">
        <v>252</v>
      </c>
    </row>
    <row r="129">
      <c r="A129" s="7">
        <v>128.0</v>
      </c>
      <c r="B129" s="8">
        <v>7.0</v>
      </c>
      <c r="C129" s="8">
        <v>12.0</v>
      </c>
      <c r="D129" s="8">
        <v>28.0</v>
      </c>
      <c r="E129" s="8">
        <v>31.0</v>
      </c>
      <c r="F129" s="8">
        <v>40.0</v>
      </c>
      <c r="G129" s="8">
        <v>44.0</v>
      </c>
      <c r="H129" s="9">
        <v>15.0</v>
      </c>
      <c r="I129" s="4">
        <v>43246.0</v>
      </c>
      <c r="J129" s="5" t="s">
        <v>253</v>
      </c>
      <c r="K129" s="11" t="s">
        <v>254</v>
      </c>
    </row>
    <row r="130">
      <c r="A130" s="7">
        <v>129.0</v>
      </c>
      <c r="B130" s="8">
        <v>9.0</v>
      </c>
      <c r="C130" s="8">
        <v>13.0</v>
      </c>
      <c r="D130" s="8">
        <v>17.0</v>
      </c>
      <c r="E130" s="8">
        <v>18.0</v>
      </c>
      <c r="F130" s="8">
        <v>46.0</v>
      </c>
      <c r="G130" s="8">
        <v>50.0</v>
      </c>
      <c r="H130" s="9">
        <v>26.0</v>
      </c>
      <c r="I130" s="4">
        <v>43249.0</v>
      </c>
      <c r="J130" s="5" t="s">
        <v>255</v>
      </c>
      <c r="K130" s="10" t="s">
        <v>256</v>
      </c>
    </row>
    <row r="131">
      <c r="A131" s="7">
        <v>130.0</v>
      </c>
      <c r="B131" s="8">
        <v>3.0</v>
      </c>
      <c r="C131" s="8">
        <v>15.0</v>
      </c>
      <c r="D131" s="8">
        <v>18.0</v>
      </c>
      <c r="E131" s="8">
        <v>25.0</v>
      </c>
      <c r="F131" s="8">
        <v>26.0</v>
      </c>
      <c r="G131" s="8">
        <v>29.0</v>
      </c>
      <c r="H131" s="9">
        <v>19.0</v>
      </c>
      <c r="I131" s="4">
        <v>43251.0</v>
      </c>
      <c r="J131" s="5" t="s">
        <v>257</v>
      </c>
      <c r="K131" s="13" t="s">
        <v>258</v>
      </c>
    </row>
    <row r="132">
      <c r="A132" s="7">
        <v>131.0</v>
      </c>
      <c r="B132" s="8">
        <v>5.0</v>
      </c>
      <c r="C132" s="8">
        <v>7.0</v>
      </c>
      <c r="D132" s="8">
        <v>17.0</v>
      </c>
      <c r="E132" s="8">
        <v>22.0</v>
      </c>
      <c r="F132" s="8">
        <v>32.0</v>
      </c>
      <c r="G132" s="8">
        <v>33.0</v>
      </c>
      <c r="H132" s="9">
        <v>6.0</v>
      </c>
      <c r="I132" s="4">
        <v>43253.0</v>
      </c>
      <c r="J132" s="5" t="s">
        <v>259</v>
      </c>
      <c r="K132" s="10" t="s">
        <v>260</v>
      </c>
    </row>
    <row r="133">
      <c r="A133" s="7">
        <v>132.0</v>
      </c>
      <c r="B133" s="8">
        <v>11.0</v>
      </c>
      <c r="C133" s="8">
        <v>21.0</v>
      </c>
      <c r="D133" s="8">
        <v>26.0</v>
      </c>
      <c r="E133" s="8">
        <v>32.0</v>
      </c>
      <c r="F133" s="8">
        <v>51.0</v>
      </c>
      <c r="G133" s="8">
        <v>52.0</v>
      </c>
      <c r="H133" s="9">
        <v>5.0</v>
      </c>
      <c r="I133" s="4">
        <v>43256.0</v>
      </c>
      <c r="J133" s="5" t="s">
        <v>261</v>
      </c>
      <c r="K133" s="11" t="s">
        <v>262</v>
      </c>
    </row>
    <row r="134">
      <c r="A134" s="7">
        <v>133.0</v>
      </c>
      <c r="B134" s="8">
        <v>11.0</v>
      </c>
      <c r="C134" s="8">
        <v>16.0</v>
      </c>
      <c r="D134" s="8">
        <v>18.0</v>
      </c>
      <c r="E134" s="8">
        <v>26.0</v>
      </c>
      <c r="F134" s="8">
        <v>46.0</v>
      </c>
      <c r="G134" s="8">
        <v>47.0</v>
      </c>
      <c r="H134" s="9">
        <v>42.0</v>
      </c>
      <c r="I134" s="4">
        <v>43258.0</v>
      </c>
      <c r="J134" s="5" t="s">
        <v>263</v>
      </c>
      <c r="K134" s="10" t="s">
        <v>264</v>
      </c>
    </row>
    <row r="135">
      <c r="A135" s="7">
        <v>134.0</v>
      </c>
      <c r="B135" s="8">
        <v>9.0</v>
      </c>
      <c r="C135" s="8">
        <v>23.0</v>
      </c>
      <c r="D135" s="8">
        <v>25.0</v>
      </c>
      <c r="E135" s="8">
        <v>39.0</v>
      </c>
      <c r="F135" s="8">
        <v>52.0</v>
      </c>
      <c r="G135" s="8">
        <v>53.0</v>
      </c>
      <c r="H135" s="9">
        <v>38.0</v>
      </c>
      <c r="I135" s="4">
        <v>43260.0</v>
      </c>
      <c r="J135" s="5" t="s">
        <v>265</v>
      </c>
      <c r="K135" s="11" t="s">
        <v>266</v>
      </c>
    </row>
    <row r="136">
      <c r="A136" s="7">
        <v>135.0</v>
      </c>
      <c r="B136" s="8">
        <v>4.0</v>
      </c>
      <c r="C136" s="8">
        <v>13.0</v>
      </c>
      <c r="D136" s="8">
        <v>23.0</v>
      </c>
      <c r="E136" s="8">
        <v>27.0</v>
      </c>
      <c r="F136" s="8">
        <v>29.0</v>
      </c>
      <c r="G136" s="8">
        <v>35.0</v>
      </c>
      <c r="H136" s="9">
        <v>14.0</v>
      </c>
      <c r="I136" s="4">
        <v>43263.0</v>
      </c>
      <c r="J136" s="5" t="s">
        <v>267</v>
      </c>
      <c r="K136" s="10" t="s">
        <v>268</v>
      </c>
    </row>
    <row r="137">
      <c r="A137" s="7">
        <v>136.0</v>
      </c>
      <c r="B137" s="8">
        <v>3.0</v>
      </c>
      <c r="C137" s="8">
        <v>15.0</v>
      </c>
      <c r="D137" s="8">
        <v>32.0</v>
      </c>
      <c r="E137" s="8">
        <v>45.0</v>
      </c>
      <c r="F137" s="8">
        <v>48.0</v>
      </c>
      <c r="G137" s="8">
        <v>54.0</v>
      </c>
      <c r="H137" s="9">
        <v>55.0</v>
      </c>
      <c r="I137" s="4">
        <v>43265.0</v>
      </c>
      <c r="J137" s="5" t="s">
        <v>269</v>
      </c>
      <c r="K137" s="13" t="s">
        <v>270</v>
      </c>
    </row>
    <row r="138">
      <c r="A138" s="7">
        <v>137.0</v>
      </c>
      <c r="B138" s="8">
        <v>14.0</v>
      </c>
      <c r="C138" s="8">
        <v>15.0</v>
      </c>
      <c r="D138" s="8">
        <v>21.0</v>
      </c>
      <c r="E138" s="8">
        <v>30.0</v>
      </c>
      <c r="F138" s="8">
        <v>44.0</v>
      </c>
      <c r="G138" s="8">
        <v>47.0</v>
      </c>
      <c r="H138" s="9">
        <v>48.0</v>
      </c>
      <c r="I138" s="4">
        <v>43267.0</v>
      </c>
      <c r="J138" s="5" t="s">
        <v>271</v>
      </c>
      <c r="K138" s="10" t="s">
        <v>272</v>
      </c>
    </row>
    <row r="139">
      <c r="A139" s="7">
        <v>138.0</v>
      </c>
      <c r="B139" s="8">
        <v>16.0</v>
      </c>
      <c r="C139" s="8">
        <v>17.0</v>
      </c>
      <c r="D139" s="8">
        <v>31.0</v>
      </c>
      <c r="E139" s="8">
        <v>37.0</v>
      </c>
      <c r="F139" s="8">
        <v>41.0</v>
      </c>
      <c r="G139" s="8">
        <v>52.0</v>
      </c>
      <c r="H139" s="9">
        <v>34.0</v>
      </c>
      <c r="I139" s="4">
        <v>43270.0</v>
      </c>
      <c r="J139" s="5" t="s">
        <v>273</v>
      </c>
      <c r="K139" s="11" t="s">
        <v>274</v>
      </c>
    </row>
    <row r="140">
      <c r="A140" s="7">
        <v>139.0</v>
      </c>
      <c r="B140" s="8">
        <v>2.0</v>
      </c>
      <c r="C140" s="8">
        <v>8.0</v>
      </c>
      <c r="D140" s="8">
        <v>19.0</v>
      </c>
      <c r="E140" s="8">
        <v>23.0</v>
      </c>
      <c r="F140" s="8">
        <v>25.0</v>
      </c>
      <c r="G140" s="8">
        <v>33.0</v>
      </c>
      <c r="H140" s="9">
        <v>32.0</v>
      </c>
      <c r="I140" s="4">
        <v>43272.0</v>
      </c>
      <c r="J140" s="5" t="s">
        <v>275</v>
      </c>
      <c r="K140" s="10" t="s">
        <v>276</v>
      </c>
    </row>
    <row r="141">
      <c r="A141" s="7">
        <v>140.0</v>
      </c>
      <c r="B141" s="8">
        <v>6.0</v>
      </c>
      <c r="C141" s="8">
        <v>8.0</v>
      </c>
      <c r="D141" s="8">
        <v>13.0</v>
      </c>
      <c r="E141" s="8">
        <v>23.0</v>
      </c>
      <c r="F141" s="8">
        <v>46.0</v>
      </c>
      <c r="G141" s="8">
        <v>55.0</v>
      </c>
      <c r="H141" s="9">
        <v>1.0</v>
      </c>
      <c r="I141" s="4">
        <v>43274.0</v>
      </c>
      <c r="J141" s="5" t="s">
        <v>277</v>
      </c>
      <c r="K141" s="11" t="s">
        <v>278</v>
      </c>
    </row>
    <row r="142">
      <c r="A142" s="7">
        <v>141.0</v>
      </c>
      <c r="B142" s="8">
        <v>17.0</v>
      </c>
      <c r="C142" s="8">
        <v>18.0</v>
      </c>
      <c r="D142" s="8">
        <v>21.0</v>
      </c>
      <c r="E142" s="8">
        <v>39.0</v>
      </c>
      <c r="F142" s="8">
        <v>40.0</v>
      </c>
      <c r="G142" s="8">
        <v>43.0</v>
      </c>
      <c r="H142" s="9">
        <v>3.0</v>
      </c>
      <c r="I142" s="4">
        <v>43277.0</v>
      </c>
      <c r="J142" s="5" t="s">
        <v>279</v>
      </c>
      <c r="K142" s="12" t="s">
        <v>280</v>
      </c>
    </row>
    <row r="143">
      <c r="A143" s="7">
        <v>142.0</v>
      </c>
      <c r="B143" s="8">
        <v>11.0</v>
      </c>
      <c r="C143" s="8">
        <v>31.0</v>
      </c>
      <c r="D143" s="8">
        <v>33.0</v>
      </c>
      <c r="E143" s="8">
        <v>43.0</v>
      </c>
      <c r="F143" s="8">
        <v>48.0</v>
      </c>
      <c r="G143" s="8">
        <v>51.0</v>
      </c>
      <c r="H143" s="9">
        <v>23.0</v>
      </c>
      <c r="I143" s="4">
        <v>43279.0</v>
      </c>
      <c r="J143" s="5" t="s">
        <v>281</v>
      </c>
      <c r="K143" s="11" t="s">
        <v>282</v>
      </c>
    </row>
    <row r="144">
      <c r="A144" s="7">
        <v>143.0</v>
      </c>
      <c r="B144" s="8">
        <v>3.0</v>
      </c>
      <c r="C144" s="8">
        <v>12.0</v>
      </c>
      <c r="D144" s="8">
        <v>23.0</v>
      </c>
      <c r="E144" s="8">
        <v>24.0</v>
      </c>
      <c r="F144" s="8">
        <v>30.0</v>
      </c>
      <c r="G144" s="8">
        <v>33.0</v>
      </c>
      <c r="H144" s="9">
        <v>1.0</v>
      </c>
      <c r="I144" s="4">
        <v>43281.0</v>
      </c>
      <c r="J144" s="5" t="s">
        <v>283</v>
      </c>
      <c r="K144" s="10" t="s">
        <v>284</v>
      </c>
    </row>
    <row r="145">
      <c r="A145" s="7">
        <v>144.0</v>
      </c>
      <c r="B145" s="8">
        <v>30.0</v>
      </c>
      <c r="C145" s="8">
        <v>32.0</v>
      </c>
      <c r="D145" s="8">
        <v>34.0</v>
      </c>
      <c r="E145" s="8">
        <v>47.0</v>
      </c>
      <c r="F145" s="8">
        <v>48.0</v>
      </c>
      <c r="G145" s="8">
        <v>49.0</v>
      </c>
      <c r="H145" s="9">
        <v>50.0</v>
      </c>
      <c r="I145" s="4">
        <v>43284.0</v>
      </c>
      <c r="J145" s="5" t="s">
        <v>285</v>
      </c>
      <c r="K145" s="11" t="s">
        <v>286</v>
      </c>
    </row>
    <row r="146">
      <c r="A146" s="7">
        <v>145.0</v>
      </c>
      <c r="B146" s="8">
        <v>4.0</v>
      </c>
      <c r="C146" s="8">
        <v>15.0</v>
      </c>
      <c r="D146" s="8">
        <v>22.0</v>
      </c>
      <c r="E146" s="8">
        <v>24.0</v>
      </c>
      <c r="F146" s="8">
        <v>43.0</v>
      </c>
      <c r="G146" s="8">
        <v>51.0</v>
      </c>
      <c r="H146" s="9">
        <v>48.0</v>
      </c>
      <c r="I146" s="4">
        <v>43286.0</v>
      </c>
      <c r="J146" s="5" t="s">
        <v>287</v>
      </c>
      <c r="K146" s="10" t="s">
        <v>288</v>
      </c>
    </row>
    <row r="147">
      <c r="A147" s="7">
        <v>146.0</v>
      </c>
      <c r="B147" s="8">
        <v>2.0</v>
      </c>
      <c r="C147" s="8">
        <v>30.0</v>
      </c>
      <c r="D147" s="8">
        <v>45.0</v>
      </c>
      <c r="E147" s="8">
        <v>48.0</v>
      </c>
      <c r="F147" s="8">
        <v>49.0</v>
      </c>
      <c r="G147" s="8">
        <v>53.0</v>
      </c>
      <c r="H147" s="9">
        <v>41.0</v>
      </c>
      <c r="I147" s="4">
        <v>43288.0</v>
      </c>
      <c r="J147" s="5" t="s">
        <v>289</v>
      </c>
      <c r="K147" s="13" t="s">
        <v>290</v>
      </c>
    </row>
    <row r="148">
      <c r="A148" s="7">
        <v>147.0</v>
      </c>
      <c r="B148" s="8">
        <v>6.0</v>
      </c>
      <c r="C148" s="8">
        <v>10.0</v>
      </c>
      <c r="D148" s="8">
        <v>16.0</v>
      </c>
      <c r="E148" s="8">
        <v>20.0</v>
      </c>
      <c r="F148" s="8">
        <v>27.0</v>
      </c>
      <c r="G148" s="8">
        <v>29.0</v>
      </c>
      <c r="H148" s="9">
        <v>24.0</v>
      </c>
      <c r="I148" s="4">
        <v>43291.0</v>
      </c>
      <c r="J148" s="5" t="s">
        <v>291</v>
      </c>
      <c r="K148" s="10" t="s">
        <v>292</v>
      </c>
    </row>
    <row r="149">
      <c r="A149" s="7">
        <v>148.0</v>
      </c>
      <c r="B149" s="8">
        <v>8.0</v>
      </c>
      <c r="C149" s="8">
        <v>15.0</v>
      </c>
      <c r="D149" s="8">
        <v>18.0</v>
      </c>
      <c r="E149" s="8">
        <v>21.0</v>
      </c>
      <c r="F149" s="8">
        <v>24.0</v>
      </c>
      <c r="G149" s="8">
        <v>49.0</v>
      </c>
      <c r="H149" s="9">
        <v>22.0</v>
      </c>
      <c r="I149" s="4">
        <v>43293.0</v>
      </c>
      <c r="J149" s="5" t="s">
        <v>293</v>
      </c>
      <c r="K149" s="11" t="s">
        <v>294</v>
      </c>
    </row>
    <row r="150">
      <c r="A150" s="7">
        <v>149.0</v>
      </c>
      <c r="B150" s="8">
        <v>4.0</v>
      </c>
      <c r="C150" s="8">
        <v>19.0</v>
      </c>
      <c r="D150" s="8">
        <v>23.0</v>
      </c>
      <c r="E150" s="8">
        <v>34.0</v>
      </c>
      <c r="F150" s="8">
        <v>38.0</v>
      </c>
      <c r="G150" s="8">
        <v>50.0</v>
      </c>
      <c r="H150" s="9">
        <v>1.0</v>
      </c>
      <c r="I150" s="4">
        <v>43295.0</v>
      </c>
      <c r="J150" s="5" t="s">
        <v>295</v>
      </c>
      <c r="K150" s="10" t="s">
        <v>296</v>
      </c>
    </row>
    <row r="151">
      <c r="A151" s="7">
        <v>150.0</v>
      </c>
      <c r="B151" s="8">
        <v>5.0</v>
      </c>
      <c r="C151" s="8">
        <v>14.0</v>
      </c>
      <c r="D151" s="8">
        <v>22.0</v>
      </c>
      <c r="E151" s="8">
        <v>27.0</v>
      </c>
      <c r="F151" s="8">
        <v>31.0</v>
      </c>
      <c r="G151" s="8">
        <v>40.0</v>
      </c>
      <c r="H151" s="9">
        <v>48.0</v>
      </c>
      <c r="I151" s="4">
        <v>43298.0</v>
      </c>
      <c r="J151" s="5" t="s">
        <v>297</v>
      </c>
      <c r="K151" s="11" t="s">
        <v>298</v>
      </c>
    </row>
    <row r="152">
      <c r="A152" s="7">
        <v>151.0</v>
      </c>
      <c r="B152" s="8">
        <v>11.0</v>
      </c>
      <c r="C152" s="8">
        <v>13.0</v>
      </c>
      <c r="D152" s="8">
        <v>28.0</v>
      </c>
      <c r="E152" s="8">
        <v>34.0</v>
      </c>
      <c r="F152" s="8">
        <v>44.0</v>
      </c>
      <c r="G152" s="8">
        <v>47.0</v>
      </c>
      <c r="H152" s="9">
        <v>10.0</v>
      </c>
      <c r="I152" s="4">
        <v>43300.0</v>
      </c>
      <c r="J152" s="5" t="s">
        <v>299</v>
      </c>
      <c r="K152" s="10" t="s">
        <v>300</v>
      </c>
    </row>
    <row r="153">
      <c r="A153" s="7">
        <v>152.0</v>
      </c>
      <c r="B153" s="8">
        <v>7.0</v>
      </c>
      <c r="C153" s="8">
        <v>31.0</v>
      </c>
      <c r="D153" s="8">
        <v>33.0</v>
      </c>
      <c r="E153" s="8">
        <v>37.0</v>
      </c>
      <c r="F153" s="8">
        <v>46.0</v>
      </c>
      <c r="G153" s="8">
        <v>52.0</v>
      </c>
      <c r="H153" s="9">
        <v>28.0</v>
      </c>
      <c r="I153" s="4">
        <v>43302.0</v>
      </c>
      <c r="J153" s="5" t="s">
        <v>301</v>
      </c>
      <c r="K153" s="11" t="s">
        <v>302</v>
      </c>
    </row>
    <row r="154">
      <c r="A154" s="7">
        <v>153.0</v>
      </c>
      <c r="B154" s="8">
        <v>11.0</v>
      </c>
      <c r="C154" s="8">
        <v>18.0</v>
      </c>
      <c r="D154" s="8">
        <v>34.0</v>
      </c>
      <c r="E154" s="8">
        <v>37.0</v>
      </c>
      <c r="F154" s="8">
        <v>50.0</v>
      </c>
      <c r="G154" s="8">
        <v>53.0</v>
      </c>
      <c r="H154" s="9">
        <v>20.0</v>
      </c>
      <c r="I154" s="4">
        <v>43305.0</v>
      </c>
      <c r="J154" s="5" t="s">
        <v>303</v>
      </c>
      <c r="K154" s="10" t="s">
        <v>304</v>
      </c>
    </row>
    <row r="155">
      <c r="A155" s="7">
        <v>154.0</v>
      </c>
      <c r="B155" s="8">
        <v>21.0</v>
      </c>
      <c r="C155" s="8">
        <v>24.0</v>
      </c>
      <c r="D155" s="8">
        <v>33.0</v>
      </c>
      <c r="E155" s="8">
        <v>37.0</v>
      </c>
      <c r="F155" s="8">
        <v>40.0</v>
      </c>
      <c r="G155" s="8">
        <v>46.0</v>
      </c>
      <c r="H155" s="9">
        <v>52.0</v>
      </c>
      <c r="I155" s="4">
        <v>43307.0</v>
      </c>
      <c r="J155" s="5" t="s">
        <v>305</v>
      </c>
      <c r="K155" s="11" t="s">
        <v>306</v>
      </c>
    </row>
    <row r="156">
      <c r="A156" s="7">
        <v>155.0</v>
      </c>
      <c r="B156" s="8">
        <v>11.0</v>
      </c>
      <c r="C156" s="8">
        <v>16.0</v>
      </c>
      <c r="D156" s="8">
        <v>22.0</v>
      </c>
      <c r="E156" s="8">
        <v>25.0</v>
      </c>
      <c r="F156" s="8">
        <v>30.0</v>
      </c>
      <c r="G156" s="8">
        <v>40.0</v>
      </c>
      <c r="H156" s="9">
        <v>9.0</v>
      </c>
      <c r="I156" s="4">
        <v>43309.0</v>
      </c>
      <c r="J156" s="5" t="s">
        <v>307</v>
      </c>
      <c r="K156" s="12" t="s">
        <v>308</v>
      </c>
    </row>
    <row r="157">
      <c r="A157" s="7">
        <v>156.0</v>
      </c>
      <c r="B157" s="8">
        <v>1.0</v>
      </c>
      <c r="C157" s="8">
        <v>5.0</v>
      </c>
      <c r="D157" s="8">
        <v>27.0</v>
      </c>
      <c r="E157" s="8">
        <v>31.0</v>
      </c>
      <c r="F157" s="8">
        <v>47.0</v>
      </c>
      <c r="G157" s="8">
        <v>50.0</v>
      </c>
      <c r="H157" s="9">
        <v>41.0</v>
      </c>
      <c r="I157" s="4">
        <v>43312.0</v>
      </c>
      <c r="J157" s="5" t="s">
        <v>309</v>
      </c>
      <c r="K157" s="11" t="s">
        <v>310</v>
      </c>
    </row>
    <row r="158">
      <c r="A158" s="7">
        <v>157.0</v>
      </c>
      <c r="B158" s="8">
        <v>6.0</v>
      </c>
      <c r="C158" s="8">
        <v>11.0</v>
      </c>
      <c r="D158" s="8">
        <v>16.0</v>
      </c>
      <c r="E158" s="8">
        <v>17.0</v>
      </c>
      <c r="F158" s="8">
        <v>41.0</v>
      </c>
      <c r="G158" s="8">
        <v>55.0</v>
      </c>
      <c r="H158" s="9">
        <v>7.0</v>
      </c>
      <c r="I158" s="4">
        <v>43314.0</v>
      </c>
      <c r="J158" s="5" t="s">
        <v>311</v>
      </c>
      <c r="K158" s="10" t="s">
        <v>312</v>
      </c>
    </row>
    <row r="159">
      <c r="A159" s="7">
        <v>158.0</v>
      </c>
      <c r="B159" s="8">
        <v>11.0</v>
      </c>
      <c r="C159" s="8">
        <v>12.0</v>
      </c>
      <c r="D159" s="8">
        <v>24.0</v>
      </c>
      <c r="E159" s="8">
        <v>32.0</v>
      </c>
      <c r="F159" s="8">
        <v>41.0</v>
      </c>
      <c r="G159" s="8">
        <v>48.0</v>
      </c>
      <c r="H159" s="9">
        <v>3.0</v>
      </c>
      <c r="I159" s="4">
        <v>43316.0</v>
      </c>
      <c r="J159" s="5" t="s">
        <v>313</v>
      </c>
      <c r="K159" s="13" t="s">
        <v>314</v>
      </c>
    </row>
    <row r="160">
      <c r="A160" s="7">
        <v>159.0</v>
      </c>
      <c r="B160" s="8">
        <v>3.0</v>
      </c>
      <c r="C160" s="8">
        <v>9.0</v>
      </c>
      <c r="D160" s="8">
        <v>15.0</v>
      </c>
      <c r="E160" s="8">
        <v>20.0</v>
      </c>
      <c r="F160" s="8">
        <v>39.0</v>
      </c>
      <c r="G160" s="8">
        <v>49.0</v>
      </c>
      <c r="H160" s="9">
        <v>4.0</v>
      </c>
      <c r="I160" s="4">
        <v>43319.0</v>
      </c>
      <c r="J160" s="5" t="s">
        <v>315</v>
      </c>
      <c r="K160" s="10" t="s">
        <v>316</v>
      </c>
    </row>
    <row r="161">
      <c r="A161" s="7">
        <v>160.0</v>
      </c>
      <c r="B161" s="8">
        <v>24.0</v>
      </c>
      <c r="C161" s="8">
        <v>29.0</v>
      </c>
      <c r="D161" s="8">
        <v>32.0</v>
      </c>
      <c r="E161" s="8">
        <v>33.0</v>
      </c>
      <c r="F161" s="8">
        <v>49.0</v>
      </c>
      <c r="G161" s="8">
        <v>55.0</v>
      </c>
      <c r="H161" s="9">
        <v>9.0</v>
      </c>
      <c r="I161" s="4">
        <v>43321.0</v>
      </c>
      <c r="J161" s="5" t="s">
        <v>317</v>
      </c>
      <c r="K161" s="11" t="s">
        <v>318</v>
      </c>
    </row>
    <row r="162">
      <c r="A162" s="7">
        <v>161.0</v>
      </c>
      <c r="B162" s="8">
        <v>16.0</v>
      </c>
      <c r="C162" s="8">
        <v>17.0</v>
      </c>
      <c r="D162" s="8">
        <v>31.0</v>
      </c>
      <c r="E162" s="8">
        <v>33.0</v>
      </c>
      <c r="F162" s="8">
        <v>42.0</v>
      </c>
      <c r="G162" s="8">
        <v>44.0</v>
      </c>
      <c r="H162" s="9">
        <v>14.0</v>
      </c>
      <c r="I162" s="4">
        <v>43323.0</v>
      </c>
      <c r="J162" s="5" t="s">
        <v>319</v>
      </c>
      <c r="K162" s="10" t="s">
        <v>320</v>
      </c>
    </row>
    <row r="163">
      <c r="A163" s="7">
        <v>162.0</v>
      </c>
      <c r="B163" s="8">
        <v>29.0</v>
      </c>
      <c r="C163" s="8">
        <v>30.0</v>
      </c>
      <c r="D163" s="8">
        <v>36.0</v>
      </c>
      <c r="E163" s="8">
        <v>38.0</v>
      </c>
      <c r="F163" s="8">
        <v>45.0</v>
      </c>
      <c r="G163" s="8">
        <v>52.0</v>
      </c>
      <c r="H163" s="9">
        <v>46.0</v>
      </c>
      <c r="I163" s="4">
        <v>43326.0</v>
      </c>
      <c r="J163" s="5" t="s">
        <v>321</v>
      </c>
      <c r="K163" s="13" t="s">
        <v>322</v>
      </c>
    </row>
    <row r="164">
      <c r="A164" s="7">
        <v>163.0</v>
      </c>
      <c r="B164" s="8">
        <v>6.0</v>
      </c>
      <c r="C164" s="8">
        <v>10.0</v>
      </c>
      <c r="D164" s="8">
        <v>34.0</v>
      </c>
      <c r="E164" s="8">
        <v>46.0</v>
      </c>
      <c r="F164" s="8">
        <v>48.0</v>
      </c>
      <c r="G164" s="8">
        <v>51.0</v>
      </c>
      <c r="H164" s="9">
        <v>47.0</v>
      </c>
      <c r="I164" s="4">
        <v>43328.0</v>
      </c>
      <c r="J164" s="5" t="s">
        <v>323</v>
      </c>
      <c r="K164" s="12" t="s">
        <v>324</v>
      </c>
    </row>
    <row r="165">
      <c r="A165" s="7">
        <v>164.0</v>
      </c>
      <c r="B165" s="8">
        <v>7.0</v>
      </c>
      <c r="C165" s="8">
        <v>33.0</v>
      </c>
      <c r="D165" s="8">
        <v>36.0</v>
      </c>
      <c r="E165" s="8">
        <v>39.0</v>
      </c>
      <c r="F165" s="8">
        <v>51.0</v>
      </c>
      <c r="G165" s="8">
        <v>55.0</v>
      </c>
      <c r="H165" s="9">
        <v>11.0</v>
      </c>
      <c r="I165" s="4">
        <v>43330.0</v>
      </c>
      <c r="J165" s="5" t="s">
        <v>325</v>
      </c>
      <c r="K165" s="13" t="s">
        <v>326</v>
      </c>
    </row>
    <row r="166">
      <c r="A166" s="7">
        <v>165.0</v>
      </c>
      <c r="B166" s="8">
        <v>9.0</v>
      </c>
      <c r="C166" s="8">
        <v>12.0</v>
      </c>
      <c r="D166" s="8">
        <v>14.0</v>
      </c>
      <c r="E166" s="8">
        <v>23.0</v>
      </c>
      <c r="F166" s="8">
        <v>32.0</v>
      </c>
      <c r="G166" s="8">
        <v>46.0</v>
      </c>
      <c r="H166" s="9">
        <v>31.0</v>
      </c>
      <c r="I166" s="4">
        <v>43333.0</v>
      </c>
      <c r="J166" s="5" t="s">
        <v>327</v>
      </c>
      <c r="K166" s="10" t="s">
        <v>328</v>
      </c>
    </row>
    <row r="167">
      <c r="A167" s="7">
        <v>166.0</v>
      </c>
      <c r="B167" s="8">
        <v>14.0</v>
      </c>
      <c r="C167" s="8">
        <v>18.0</v>
      </c>
      <c r="D167" s="8">
        <v>27.0</v>
      </c>
      <c r="E167" s="8">
        <v>38.0</v>
      </c>
      <c r="F167" s="8">
        <v>39.0</v>
      </c>
      <c r="G167" s="8">
        <v>53.0</v>
      </c>
      <c r="H167" s="9">
        <v>2.0</v>
      </c>
      <c r="I167" s="4">
        <v>43335.0</v>
      </c>
      <c r="J167" s="5" t="s">
        <v>329</v>
      </c>
      <c r="K167" s="11" t="s">
        <v>330</v>
      </c>
    </row>
    <row r="168">
      <c r="A168" s="7">
        <v>167.0</v>
      </c>
      <c r="B168" s="8">
        <v>10.0</v>
      </c>
      <c r="C168" s="8">
        <v>11.0</v>
      </c>
      <c r="D168" s="8">
        <v>15.0</v>
      </c>
      <c r="E168" s="8">
        <v>32.0</v>
      </c>
      <c r="F168" s="8">
        <v>40.0</v>
      </c>
      <c r="G168" s="8">
        <v>48.0</v>
      </c>
      <c r="H168" s="9">
        <v>27.0</v>
      </c>
      <c r="I168" s="4">
        <v>43337.0</v>
      </c>
      <c r="J168" s="5" t="s">
        <v>331</v>
      </c>
      <c r="K168" s="10" t="s">
        <v>332</v>
      </c>
    </row>
    <row r="169">
      <c r="A169" s="7">
        <v>168.0</v>
      </c>
      <c r="B169" s="8">
        <v>2.0</v>
      </c>
      <c r="C169" s="8">
        <v>10.0</v>
      </c>
      <c r="D169" s="8">
        <v>15.0</v>
      </c>
      <c r="E169" s="8">
        <v>31.0</v>
      </c>
      <c r="F169" s="8">
        <v>39.0</v>
      </c>
      <c r="G169" s="8">
        <v>48.0</v>
      </c>
      <c r="H169" s="9">
        <v>23.0</v>
      </c>
      <c r="I169" s="4">
        <v>43340.0</v>
      </c>
      <c r="J169" s="5" t="s">
        <v>333</v>
      </c>
      <c r="K169" s="11" t="s">
        <v>334</v>
      </c>
    </row>
    <row r="170">
      <c r="A170" s="7">
        <v>169.0</v>
      </c>
      <c r="B170" s="8">
        <v>5.0</v>
      </c>
      <c r="C170" s="8">
        <v>22.0</v>
      </c>
      <c r="D170" s="8">
        <v>28.0</v>
      </c>
      <c r="E170" s="8">
        <v>42.0</v>
      </c>
      <c r="F170" s="8">
        <v>49.0</v>
      </c>
      <c r="G170" s="8">
        <v>54.0</v>
      </c>
      <c r="H170" s="9">
        <v>36.0</v>
      </c>
      <c r="I170" s="4">
        <v>43342.0</v>
      </c>
      <c r="J170" s="5" t="s">
        <v>335</v>
      </c>
      <c r="K170" s="10" t="s">
        <v>336</v>
      </c>
    </row>
    <row r="171">
      <c r="A171" s="7">
        <v>170.0</v>
      </c>
      <c r="B171" s="8">
        <v>2.0</v>
      </c>
      <c r="C171" s="8">
        <v>8.0</v>
      </c>
      <c r="D171" s="8">
        <v>20.0</v>
      </c>
      <c r="E171" s="8">
        <v>21.0</v>
      </c>
      <c r="F171" s="8">
        <v>28.0</v>
      </c>
      <c r="G171" s="8">
        <v>36.0</v>
      </c>
      <c r="H171" s="9">
        <v>5.0</v>
      </c>
      <c r="I171" s="4">
        <v>43344.0</v>
      </c>
      <c r="J171" s="5" t="s">
        <v>337</v>
      </c>
      <c r="K171" s="11" t="s">
        <v>338</v>
      </c>
    </row>
    <row r="172">
      <c r="A172" s="7">
        <v>171.0</v>
      </c>
      <c r="B172" s="8">
        <v>8.0</v>
      </c>
      <c r="C172" s="8">
        <v>18.0</v>
      </c>
      <c r="D172" s="8">
        <v>20.0</v>
      </c>
      <c r="E172" s="8">
        <v>29.0</v>
      </c>
      <c r="F172" s="8">
        <v>34.0</v>
      </c>
      <c r="G172" s="8">
        <v>37.0</v>
      </c>
      <c r="H172" s="9">
        <v>51.0</v>
      </c>
      <c r="I172" s="4">
        <v>43347.0</v>
      </c>
      <c r="J172" s="5" t="s">
        <v>339</v>
      </c>
      <c r="K172" s="10" t="s">
        <v>340</v>
      </c>
    </row>
    <row r="173">
      <c r="A173" s="7">
        <v>172.0</v>
      </c>
      <c r="B173" s="8">
        <v>4.0</v>
      </c>
      <c r="C173" s="8">
        <v>11.0</v>
      </c>
      <c r="D173" s="8">
        <v>15.0</v>
      </c>
      <c r="E173" s="8">
        <v>21.0</v>
      </c>
      <c r="F173" s="8">
        <v>24.0</v>
      </c>
      <c r="G173" s="8">
        <v>27.0</v>
      </c>
      <c r="H173" s="9">
        <v>7.0</v>
      </c>
      <c r="I173" s="4">
        <v>43349.0</v>
      </c>
      <c r="J173" s="5" t="s">
        <v>341</v>
      </c>
      <c r="K173" s="11" t="s">
        <v>342</v>
      </c>
    </row>
    <row r="174">
      <c r="A174" s="7">
        <v>173.0</v>
      </c>
      <c r="B174" s="8">
        <v>9.0</v>
      </c>
      <c r="C174" s="8">
        <v>11.0</v>
      </c>
      <c r="D174" s="8">
        <v>12.0</v>
      </c>
      <c r="E174" s="8">
        <v>24.0</v>
      </c>
      <c r="F174" s="8">
        <v>35.0</v>
      </c>
      <c r="G174" s="8">
        <v>43.0</v>
      </c>
      <c r="H174" s="9">
        <v>15.0</v>
      </c>
      <c r="I174" s="4">
        <v>43351.0</v>
      </c>
      <c r="J174" s="5" t="s">
        <v>343</v>
      </c>
      <c r="K174" s="10" t="s">
        <v>344</v>
      </c>
    </row>
    <row r="175">
      <c r="A175" s="7">
        <v>174.0</v>
      </c>
      <c r="B175" s="8">
        <v>13.0</v>
      </c>
      <c r="C175" s="8">
        <v>17.0</v>
      </c>
      <c r="D175" s="8">
        <v>28.0</v>
      </c>
      <c r="E175" s="8">
        <v>42.0</v>
      </c>
      <c r="F175" s="8">
        <v>45.0</v>
      </c>
      <c r="G175" s="8">
        <v>49.0</v>
      </c>
      <c r="H175" s="9">
        <v>50.0</v>
      </c>
      <c r="I175" s="4">
        <v>43354.0</v>
      </c>
      <c r="J175" s="5" t="s">
        <v>345</v>
      </c>
      <c r="K175" s="11" t="s">
        <v>346</v>
      </c>
    </row>
    <row r="176">
      <c r="A176" s="7">
        <v>175.0</v>
      </c>
      <c r="B176" s="8">
        <v>4.0</v>
      </c>
      <c r="C176" s="8">
        <v>6.0</v>
      </c>
      <c r="D176" s="8">
        <v>7.0</v>
      </c>
      <c r="E176" s="8">
        <v>26.0</v>
      </c>
      <c r="F176" s="8">
        <v>40.0</v>
      </c>
      <c r="G176" s="8">
        <v>44.0</v>
      </c>
      <c r="H176" s="9">
        <v>9.0</v>
      </c>
      <c r="I176" s="4">
        <v>43356.0</v>
      </c>
      <c r="J176" s="5" t="s">
        <v>347</v>
      </c>
      <c r="K176" s="10" t="s">
        <v>348</v>
      </c>
    </row>
    <row r="177">
      <c r="A177" s="7">
        <v>176.0</v>
      </c>
      <c r="B177" s="8">
        <v>2.0</v>
      </c>
      <c r="C177" s="8">
        <v>5.0</v>
      </c>
      <c r="D177" s="8">
        <v>28.0</v>
      </c>
      <c r="E177" s="8">
        <v>30.0</v>
      </c>
      <c r="F177" s="8">
        <v>46.0</v>
      </c>
      <c r="G177" s="8">
        <v>50.0</v>
      </c>
      <c r="H177" s="9">
        <v>49.0</v>
      </c>
      <c r="I177" s="4">
        <v>43358.0</v>
      </c>
      <c r="J177" s="5" t="s">
        <v>349</v>
      </c>
      <c r="K177" s="13" t="s">
        <v>350</v>
      </c>
    </row>
    <row r="178">
      <c r="A178" s="7">
        <v>177.0</v>
      </c>
      <c r="B178" s="8">
        <v>8.0</v>
      </c>
      <c r="C178" s="8">
        <v>21.0</v>
      </c>
      <c r="D178" s="8">
        <v>32.0</v>
      </c>
      <c r="E178" s="8">
        <v>43.0</v>
      </c>
      <c r="F178" s="8">
        <v>48.0</v>
      </c>
      <c r="G178" s="8">
        <v>53.0</v>
      </c>
      <c r="H178" s="9">
        <v>38.0</v>
      </c>
      <c r="I178" s="4">
        <v>43361.0</v>
      </c>
      <c r="J178" s="5" t="s">
        <v>351</v>
      </c>
      <c r="K178" s="10" t="s">
        <v>352</v>
      </c>
    </row>
    <row r="179">
      <c r="A179" s="7">
        <v>178.0</v>
      </c>
      <c r="B179" s="8">
        <v>3.0</v>
      </c>
      <c r="C179" s="8">
        <v>32.0</v>
      </c>
      <c r="D179" s="8">
        <v>35.0</v>
      </c>
      <c r="E179" s="8">
        <v>46.0</v>
      </c>
      <c r="F179" s="8">
        <v>47.0</v>
      </c>
      <c r="G179" s="8">
        <v>49.0</v>
      </c>
      <c r="H179" s="9">
        <v>51.0</v>
      </c>
      <c r="I179" s="4">
        <v>43363.0</v>
      </c>
      <c r="J179" s="5" t="s">
        <v>353</v>
      </c>
      <c r="K179" s="11" t="s">
        <v>354</v>
      </c>
    </row>
    <row r="180">
      <c r="A180" s="7">
        <v>179.0</v>
      </c>
      <c r="B180" s="8">
        <v>1.0</v>
      </c>
      <c r="C180" s="8">
        <v>8.0</v>
      </c>
      <c r="D180" s="8">
        <v>17.0</v>
      </c>
      <c r="E180" s="8">
        <v>28.0</v>
      </c>
      <c r="F180" s="8">
        <v>40.0</v>
      </c>
      <c r="G180" s="8">
        <v>50.0</v>
      </c>
      <c r="H180" s="9">
        <v>21.0</v>
      </c>
      <c r="I180" s="4">
        <v>43365.0</v>
      </c>
      <c r="J180" s="5" t="s">
        <v>355</v>
      </c>
      <c r="K180" s="10" t="s">
        <v>356</v>
      </c>
    </row>
    <row r="181">
      <c r="A181" s="7">
        <v>180.0</v>
      </c>
      <c r="B181" s="8">
        <v>2.0</v>
      </c>
      <c r="C181" s="8">
        <v>3.0</v>
      </c>
      <c r="D181" s="8">
        <v>6.0</v>
      </c>
      <c r="E181" s="8">
        <v>13.0</v>
      </c>
      <c r="F181" s="8">
        <v>14.0</v>
      </c>
      <c r="G181" s="8">
        <v>17.0</v>
      </c>
      <c r="H181" s="9">
        <v>9.0</v>
      </c>
      <c r="I181" s="4">
        <v>43368.0</v>
      </c>
      <c r="J181" s="5" t="s">
        <v>357</v>
      </c>
      <c r="K181" s="13" t="s">
        <v>358</v>
      </c>
    </row>
    <row r="182">
      <c r="A182" s="7">
        <v>181.0</v>
      </c>
      <c r="B182" s="8">
        <v>8.0</v>
      </c>
      <c r="C182" s="8">
        <v>12.0</v>
      </c>
      <c r="D182" s="8">
        <v>29.0</v>
      </c>
      <c r="E182" s="8">
        <v>35.0</v>
      </c>
      <c r="F182" s="8">
        <v>51.0</v>
      </c>
      <c r="G182" s="8">
        <v>54.0</v>
      </c>
      <c r="H182" s="9">
        <v>34.0</v>
      </c>
      <c r="I182" s="4">
        <v>43370.0</v>
      </c>
      <c r="J182" s="5" t="s">
        <v>359</v>
      </c>
      <c r="K182" s="12" t="s">
        <v>360</v>
      </c>
    </row>
    <row r="183">
      <c r="A183" s="7">
        <v>182.0</v>
      </c>
      <c r="B183" s="8">
        <v>3.0</v>
      </c>
      <c r="C183" s="8">
        <v>7.0</v>
      </c>
      <c r="D183" s="8">
        <v>12.0</v>
      </c>
      <c r="E183" s="8">
        <v>32.0</v>
      </c>
      <c r="F183" s="8">
        <v>34.0</v>
      </c>
      <c r="G183" s="8">
        <v>55.0</v>
      </c>
      <c r="H183" s="9">
        <v>38.0</v>
      </c>
      <c r="I183" s="4">
        <v>43372.0</v>
      </c>
      <c r="J183" s="5" t="s">
        <v>361</v>
      </c>
      <c r="K183" s="11" t="s">
        <v>362</v>
      </c>
    </row>
    <row r="184">
      <c r="A184" s="7">
        <v>183.0</v>
      </c>
      <c r="B184" s="8">
        <v>3.0</v>
      </c>
      <c r="C184" s="8">
        <v>7.0</v>
      </c>
      <c r="D184" s="8">
        <v>28.0</v>
      </c>
      <c r="E184" s="8">
        <v>32.0</v>
      </c>
      <c r="F184" s="8">
        <v>33.0</v>
      </c>
      <c r="G184" s="8">
        <v>37.0</v>
      </c>
      <c r="H184" s="9">
        <v>22.0</v>
      </c>
      <c r="I184" s="4">
        <v>43375.0</v>
      </c>
      <c r="J184" s="5" t="s">
        <v>363</v>
      </c>
      <c r="K184" s="10" t="s">
        <v>364</v>
      </c>
    </row>
    <row r="185">
      <c r="A185" s="7">
        <v>184.0</v>
      </c>
      <c r="B185" s="8">
        <v>3.0</v>
      </c>
      <c r="C185" s="8">
        <v>9.0</v>
      </c>
      <c r="D185" s="8">
        <v>12.0</v>
      </c>
      <c r="E185" s="8">
        <v>17.0</v>
      </c>
      <c r="F185" s="8">
        <v>34.0</v>
      </c>
      <c r="G185" s="8">
        <v>42.0</v>
      </c>
      <c r="H185" s="9">
        <v>46.0</v>
      </c>
      <c r="I185" s="4">
        <v>43377.0</v>
      </c>
      <c r="J185" s="5" t="s">
        <v>365</v>
      </c>
      <c r="K185" s="11" t="s">
        <v>366</v>
      </c>
    </row>
    <row r="186">
      <c r="A186" s="7">
        <v>185.0</v>
      </c>
      <c r="B186" s="8">
        <v>5.0</v>
      </c>
      <c r="C186" s="8">
        <v>6.0</v>
      </c>
      <c r="D186" s="8">
        <v>16.0</v>
      </c>
      <c r="E186" s="8">
        <v>42.0</v>
      </c>
      <c r="F186" s="8">
        <v>48.0</v>
      </c>
      <c r="G186" s="8">
        <v>51.0</v>
      </c>
      <c r="H186" s="9">
        <v>3.0</v>
      </c>
      <c r="I186" s="4">
        <v>43379.0</v>
      </c>
      <c r="J186" s="5" t="s">
        <v>367</v>
      </c>
      <c r="K186" s="10" t="s">
        <v>368</v>
      </c>
    </row>
    <row r="187">
      <c r="A187" s="7">
        <v>186.0</v>
      </c>
      <c r="B187" s="8">
        <v>10.0</v>
      </c>
      <c r="C187" s="8">
        <v>27.0</v>
      </c>
      <c r="D187" s="8">
        <v>46.0</v>
      </c>
      <c r="E187" s="8">
        <v>50.0</v>
      </c>
      <c r="F187" s="8">
        <v>51.0</v>
      </c>
      <c r="G187" s="8">
        <v>55.0</v>
      </c>
      <c r="H187" s="9">
        <v>1.0</v>
      </c>
      <c r="I187" s="4">
        <v>43382.0</v>
      </c>
      <c r="J187" s="5" t="s">
        <v>369</v>
      </c>
      <c r="K187" s="11" t="s">
        <v>370</v>
      </c>
    </row>
    <row r="188">
      <c r="A188" s="7">
        <v>187.0</v>
      </c>
      <c r="B188" s="8">
        <v>5.0</v>
      </c>
      <c r="C188" s="8">
        <v>16.0</v>
      </c>
      <c r="D188" s="8">
        <v>17.0</v>
      </c>
      <c r="E188" s="8">
        <v>37.0</v>
      </c>
      <c r="F188" s="8">
        <v>46.0</v>
      </c>
      <c r="G188" s="8">
        <v>49.0</v>
      </c>
      <c r="H188" s="9">
        <v>35.0</v>
      </c>
      <c r="I188" s="4">
        <v>43384.0</v>
      </c>
      <c r="J188" s="5" t="s">
        <v>371</v>
      </c>
      <c r="K188" s="10" t="s">
        <v>372</v>
      </c>
    </row>
    <row r="189">
      <c r="A189" s="7">
        <v>188.0</v>
      </c>
      <c r="B189" s="8">
        <v>12.0</v>
      </c>
      <c r="C189" s="8">
        <v>21.0</v>
      </c>
      <c r="D189" s="8">
        <v>23.0</v>
      </c>
      <c r="E189" s="8">
        <v>44.0</v>
      </c>
      <c r="F189" s="8">
        <v>47.0</v>
      </c>
      <c r="G189" s="8">
        <v>48.0</v>
      </c>
      <c r="H189" s="9">
        <v>43.0</v>
      </c>
      <c r="I189" s="4">
        <v>43386.0</v>
      </c>
      <c r="J189" s="5" t="s">
        <v>373</v>
      </c>
      <c r="K189" s="11" t="s">
        <v>374</v>
      </c>
    </row>
    <row r="190">
      <c r="A190" s="7">
        <v>189.0</v>
      </c>
      <c r="B190" s="8">
        <v>5.0</v>
      </c>
      <c r="C190" s="8">
        <v>28.0</v>
      </c>
      <c r="D190" s="8">
        <v>29.0</v>
      </c>
      <c r="E190" s="8">
        <v>34.0</v>
      </c>
      <c r="F190" s="8">
        <v>42.0</v>
      </c>
      <c r="G190" s="8">
        <v>46.0</v>
      </c>
      <c r="H190" s="9">
        <v>17.0</v>
      </c>
      <c r="I190" s="4">
        <v>43389.0</v>
      </c>
      <c r="J190" s="5" t="s">
        <v>375</v>
      </c>
      <c r="K190" s="12" t="s">
        <v>376</v>
      </c>
    </row>
    <row r="191">
      <c r="A191" s="7">
        <v>190.0</v>
      </c>
      <c r="B191" s="8">
        <v>1.0</v>
      </c>
      <c r="C191" s="8">
        <v>11.0</v>
      </c>
      <c r="D191" s="8">
        <v>22.0</v>
      </c>
      <c r="E191" s="8">
        <v>34.0</v>
      </c>
      <c r="F191" s="8">
        <v>42.0</v>
      </c>
      <c r="G191" s="8">
        <v>47.0</v>
      </c>
      <c r="H191" s="9">
        <v>30.0</v>
      </c>
      <c r="I191" s="4">
        <v>43391.0</v>
      </c>
      <c r="J191" s="5" t="s">
        <v>377</v>
      </c>
      <c r="K191" s="11" t="s">
        <v>378</v>
      </c>
    </row>
    <row r="192">
      <c r="A192" s="7">
        <v>191.0</v>
      </c>
      <c r="B192" s="8">
        <v>2.0</v>
      </c>
      <c r="C192" s="8">
        <v>5.0</v>
      </c>
      <c r="D192" s="8">
        <v>10.0</v>
      </c>
      <c r="E192" s="8">
        <v>17.0</v>
      </c>
      <c r="F192" s="8">
        <v>35.0</v>
      </c>
      <c r="G192" s="8">
        <v>41.0</v>
      </c>
      <c r="H192" s="9">
        <v>21.0</v>
      </c>
      <c r="I192" s="4">
        <v>43393.0</v>
      </c>
      <c r="J192" s="5" t="s">
        <v>379</v>
      </c>
      <c r="K192" s="10" t="s">
        <v>380</v>
      </c>
    </row>
    <row r="193">
      <c r="A193" s="7">
        <v>192.0</v>
      </c>
      <c r="B193" s="8">
        <v>1.0</v>
      </c>
      <c r="C193" s="8">
        <v>3.0</v>
      </c>
      <c r="D193" s="8">
        <v>6.0</v>
      </c>
      <c r="E193" s="8">
        <v>13.0</v>
      </c>
      <c r="F193" s="8">
        <v>21.0</v>
      </c>
      <c r="G193" s="8">
        <v>30.0</v>
      </c>
      <c r="H193" s="9">
        <v>36.0</v>
      </c>
      <c r="I193" s="4">
        <v>43396.0</v>
      </c>
      <c r="J193" s="5" t="s">
        <v>381</v>
      </c>
      <c r="K193" s="11" t="s">
        <v>382</v>
      </c>
    </row>
    <row r="194">
      <c r="A194" s="7">
        <v>193.0</v>
      </c>
      <c r="B194" s="8">
        <v>16.0</v>
      </c>
      <c r="C194" s="8">
        <v>23.0</v>
      </c>
      <c r="D194" s="8">
        <v>29.0</v>
      </c>
      <c r="E194" s="8">
        <v>31.0</v>
      </c>
      <c r="F194" s="8">
        <v>45.0</v>
      </c>
      <c r="G194" s="8">
        <v>48.0</v>
      </c>
      <c r="H194" s="9">
        <v>19.0</v>
      </c>
      <c r="I194" s="4">
        <v>43398.0</v>
      </c>
      <c r="J194" s="5" t="s">
        <v>383</v>
      </c>
      <c r="K194" s="10" t="s">
        <v>384</v>
      </c>
    </row>
    <row r="195">
      <c r="A195" s="7">
        <v>194.0</v>
      </c>
      <c r="B195" s="8">
        <v>8.0</v>
      </c>
      <c r="C195" s="8">
        <v>9.0</v>
      </c>
      <c r="D195" s="8">
        <v>15.0</v>
      </c>
      <c r="E195" s="8">
        <v>21.0</v>
      </c>
      <c r="F195" s="8">
        <v>44.0</v>
      </c>
      <c r="G195" s="8">
        <v>49.0</v>
      </c>
      <c r="H195" s="9">
        <v>16.0</v>
      </c>
      <c r="I195" s="4">
        <v>43400.0</v>
      </c>
      <c r="J195" s="5" t="s">
        <v>385</v>
      </c>
      <c r="K195" s="11" t="s">
        <v>386</v>
      </c>
    </row>
    <row r="196">
      <c r="A196" s="7">
        <v>195.0</v>
      </c>
      <c r="B196" s="8">
        <v>1.0</v>
      </c>
      <c r="C196" s="8">
        <v>12.0</v>
      </c>
      <c r="D196" s="8">
        <v>22.0</v>
      </c>
      <c r="E196" s="8">
        <v>27.0</v>
      </c>
      <c r="F196" s="8">
        <v>30.0</v>
      </c>
      <c r="G196" s="8">
        <v>39.0</v>
      </c>
      <c r="H196" s="9">
        <v>46.0</v>
      </c>
      <c r="I196" s="4">
        <v>43403.0</v>
      </c>
      <c r="J196" s="5" t="s">
        <v>387</v>
      </c>
      <c r="K196" s="10" t="s">
        <v>388</v>
      </c>
    </row>
    <row r="197">
      <c r="A197" s="7">
        <v>196.0</v>
      </c>
      <c r="B197" s="8">
        <v>3.0</v>
      </c>
      <c r="C197" s="8">
        <v>11.0</v>
      </c>
      <c r="D197" s="8">
        <v>15.0</v>
      </c>
      <c r="E197" s="8">
        <v>42.0</v>
      </c>
      <c r="F197" s="8">
        <v>44.0</v>
      </c>
      <c r="G197" s="8">
        <v>54.0</v>
      </c>
      <c r="H197" s="9">
        <v>41.0</v>
      </c>
      <c r="I197" s="4">
        <v>43405.0</v>
      </c>
      <c r="J197" s="5" t="s">
        <v>389</v>
      </c>
      <c r="K197" s="11" t="s">
        <v>390</v>
      </c>
    </row>
    <row r="198">
      <c r="A198" s="7">
        <v>197.0</v>
      </c>
      <c r="B198" s="8">
        <v>14.0</v>
      </c>
      <c r="C198" s="8">
        <v>17.0</v>
      </c>
      <c r="D198" s="8">
        <v>20.0</v>
      </c>
      <c r="E198" s="8">
        <v>23.0</v>
      </c>
      <c r="F198" s="8">
        <v>25.0</v>
      </c>
      <c r="G198" s="8">
        <v>45.0</v>
      </c>
      <c r="H198" s="9">
        <v>34.0</v>
      </c>
      <c r="I198" s="4">
        <v>43407.0</v>
      </c>
      <c r="J198" s="5" t="s">
        <v>391</v>
      </c>
      <c r="K198" s="10" t="s">
        <v>392</v>
      </c>
    </row>
    <row r="199">
      <c r="A199" s="7">
        <v>198.0</v>
      </c>
      <c r="B199" s="8">
        <v>19.0</v>
      </c>
      <c r="C199" s="8">
        <v>22.0</v>
      </c>
      <c r="D199" s="8">
        <v>23.0</v>
      </c>
      <c r="E199" s="8">
        <v>43.0</v>
      </c>
      <c r="F199" s="8">
        <v>47.0</v>
      </c>
      <c r="G199" s="8">
        <v>53.0</v>
      </c>
      <c r="H199" s="9">
        <v>3.0</v>
      </c>
      <c r="I199" s="4">
        <v>43410.0</v>
      </c>
      <c r="J199" s="5" t="s">
        <v>393</v>
      </c>
      <c r="K199" s="11" t="s">
        <v>394</v>
      </c>
    </row>
    <row r="200">
      <c r="A200" s="7">
        <v>199.0</v>
      </c>
      <c r="B200" s="8">
        <v>22.0</v>
      </c>
      <c r="C200" s="8">
        <v>28.0</v>
      </c>
      <c r="D200" s="8">
        <v>31.0</v>
      </c>
      <c r="E200" s="8">
        <v>39.0</v>
      </c>
      <c r="F200" s="8">
        <v>52.0</v>
      </c>
      <c r="G200" s="8">
        <v>53.0</v>
      </c>
      <c r="H200" s="9">
        <v>14.0</v>
      </c>
      <c r="I200" s="4">
        <v>43412.0</v>
      </c>
      <c r="J200" s="5" t="s">
        <v>395</v>
      </c>
      <c r="K200" s="12" t="s">
        <v>396</v>
      </c>
    </row>
    <row r="201">
      <c r="A201" s="7">
        <v>200.0</v>
      </c>
      <c r="B201" s="8">
        <v>3.0</v>
      </c>
      <c r="C201" s="8">
        <v>5.0</v>
      </c>
      <c r="D201" s="8">
        <v>19.0</v>
      </c>
      <c r="E201" s="8">
        <v>22.0</v>
      </c>
      <c r="F201" s="8">
        <v>29.0</v>
      </c>
      <c r="G201" s="8">
        <v>39.0</v>
      </c>
      <c r="H201" s="9">
        <v>15.0</v>
      </c>
      <c r="I201" s="4">
        <v>43414.0</v>
      </c>
      <c r="J201" s="5" t="s">
        <v>397</v>
      </c>
      <c r="K201" s="11" t="s">
        <v>398</v>
      </c>
    </row>
    <row r="202">
      <c r="A202" s="7">
        <v>201.0</v>
      </c>
      <c r="B202" s="8">
        <v>3.0</v>
      </c>
      <c r="C202" s="8">
        <v>25.0</v>
      </c>
      <c r="D202" s="8">
        <v>26.0</v>
      </c>
      <c r="E202" s="8">
        <v>32.0</v>
      </c>
      <c r="F202" s="8">
        <v>41.0</v>
      </c>
      <c r="G202" s="8">
        <v>47.0</v>
      </c>
      <c r="H202" s="9">
        <v>5.0</v>
      </c>
      <c r="I202" s="4">
        <v>43417.0</v>
      </c>
      <c r="J202" s="5" t="s">
        <v>399</v>
      </c>
      <c r="K202" s="10" t="s">
        <v>400</v>
      </c>
    </row>
    <row r="203">
      <c r="A203" s="7">
        <v>202.0</v>
      </c>
      <c r="B203" s="8">
        <v>13.0</v>
      </c>
      <c r="C203" s="8">
        <v>16.0</v>
      </c>
      <c r="D203" s="8">
        <v>21.0</v>
      </c>
      <c r="E203" s="8">
        <v>40.0</v>
      </c>
      <c r="F203" s="8">
        <v>49.0</v>
      </c>
      <c r="G203" s="8">
        <v>52.0</v>
      </c>
      <c r="H203" s="9">
        <v>54.0</v>
      </c>
      <c r="I203" s="4">
        <v>43419.0</v>
      </c>
      <c r="J203" s="5" t="s">
        <v>401</v>
      </c>
      <c r="K203" s="11" t="s">
        <v>402</v>
      </c>
    </row>
    <row r="204">
      <c r="A204" s="7">
        <v>203.0</v>
      </c>
      <c r="B204" s="8">
        <v>12.0</v>
      </c>
      <c r="C204" s="8">
        <v>22.0</v>
      </c>
      <c r="D204" s="8">
        <v>26.0</v>
      </c>
      <c r="E204" s="8">
        <v>29.0</v>
      </c>
      <c r="F204" s="8">
        <v>45.0</v>
      </c>
      <c r="G204" s="8">
        <v>47.0</v>
      </c>
      <c r="H204" s="9">
        <v>15.0</v>
      </c>
      <c r="I204" s="4">
        <v>43421.0</v>
      </c>
      <c r="J204" s="5" t="s">
        <v>403</v>
      </c>
      <c r="K204" s="10" t="s">
        <v>404</v>
      </c>
    </row>
    <row r="205">
      <c r="A205" s="7">
        <v>204.0</v>
      </c>
      <c r="B205" s="8">
        <v>9.0</v>
      </c>
      <c r="C205" s="8">
        <v>23.0</v>
      </c>
      <c r="D205" s="8">
        <v>33.0</v>
      </c>
      <c r="E205" s="8">
        <v>40.0</v>
      </c>
      <c r="F205" s="8">
        <v>44.0</v>
      </c>
      <c r="G205" s="8">
        <v>49.0</v>
      </c>
      <c r="H205" s="9">
        <v>17.0</v>
      </c>
      <c r="I205" s="4">
        <v>43424.0</v>
      </c>
      <c r="J205" s="5" t="s">
        <v>405</v>
      </c>
      <c r="K205" s="11" t="s">
        <v>406</v>
      </c>
    </row>
    <row r="206">
      <c r="A206" s="7">
        <v>205.0</v>
      </c>
      <c r="B206" s="8">
        <v>17.0</v>
      </c>
      <c r="C206" s="8">
        <v>22.0</v>
      </c>
      <c r="D206" s="8">
        <v>24.0</v>
      </c>
      <c r="E206" s="8">
        <v>28.0</v>
      </c>
      <c r="F206" s="8">
        <v>37.0</v>
      </c>
      <c r="G206" s="8">
        <v>44.0</v>
      </c>
      <c r="H206" s="9">
        <v>6.0</v>
      </c>
      <c r="I206" s="4">
        <v>43426.0</v>
      </c>
      <c r="J206" s="5" t="s">
        <v>407</v>
      </c>
      <c r="K206" s="12" t="s">
        <v>408</v>
      </c>
    </row>
    <row r="207">
      <c r="A207" s="7">
        <v>206.0</v>
      </c>
      <c r="B207" s="8">
        <v>3.0</v>
      </c>
      <c r="C207" s="8">
        <v>10.0</v>
      </c>
      <c r="D207" s="8">
        <v>11.0</v>
      </c>
      <c r="E207" s="8">
        <v>25.0</v>
      </c>
      <c r="F207" s="8">
        <v>40.0</v>
      </c>
      <c r="G207" s="8">
        <v>54.0</v>
      </c>
      <c r="H207" s="9">
        <v>17.0</v>
      </c>
      <c r="I207" s="4">
        <v>43428.0</v>
      </c>
      <c r="J207" s="5" t="s">
        <v>409</v>
      </c>
      <c r="K207" s="11" t="s">
        <v>410</v>
      </c>
    </row>
    <row r="208">
      <c r="A208" s="7">
        <v>207.0</v>
      </c>
      <c r="B208" s="8">
        <v>3.0</v>
      </c>
      <c r="C208" s="8">
        <v>5.0</v>
      </c>
      <c r="D208" s="8">
        <v>23.0</v>
      </c>
      <c r="E208" s="8">
        <v>28.0</v>
      </c>
      <c r="F208" s="8">
        <v>35.0</v>
      </c>
      <c r="G208" s="8">
        <v>44.0</v>
      </c>
      <c r="H208" s="9">
        <v>8.0</v>
      </c>
      <c r="I208" s="4">
        <v>43431.0</v>
      </c>
      <c r="J208" s="5" t="s">
        <v>411</v>
      </c>
      <c r="K208" s="12" t="s">
        <v>412</v>
      </c>
    </row>
    <row r="209">
      <c r="A209" s="7">
        <v>208.0</v>
      </c>
      <c r="B209" s="8">
        <v>10.0</v>
      </c>
      <c r="C209" s="8">
        <v>23.0</v>
      </c>
      <c r="D209" s="8">
        <v>27.0</v>
      </c>
      <c r="E209" s="8">
        <v>42.0</v>
      </c>
      <c r="F209" s="8">
        <v>51.0</v>
      </c>
      <c r="G209" s="8">
        <v>52.0</v>
      </c>
      <c r="H209" s="9">
        <v>20.0</v>
      </c>
      <c r="I209" s="4">
        <v>43433.0</v>
      </c>
      <c r="J209" s="5" t="s">
        <v>413</v>
      </c>
      <c r="K209" s="11" t="s">
        <v>414</v>
      </c>
    </row>
    <row r="210">
      <c r="A210" s="7">
        <v>209.0</v>
      </c>
      <c r="B210" s="8">
        <v>3.0</v>
      </c>
      <c r="C210" s="8">
        <v>5.0</v>
      </c>
      <c r="D210" s="8">
        <v>12.0</v>
      </c>
      <c r="E210" s="8">
        <v>20.0</v>
      </c>
      <c r="F210" s="8">
        <v>25.0</v>
      </c>
      <c r="G210" s="8">
        <v>33.0</v>
      </c>
      <c r="H210" s="9">
        <v>41.0</v>
      </c>
      <c r="I210" s="4">
        <v>43435.0</v>
      </c>
      <c r="J210" s="5" t="s">
        <v>415</v>
      </c>
      <c r="K210" s="10" t="s">
        <v>416</v>
      </c>
    </row>
    <row r="211">
      <c r="A211" s="7">
        <v>210.0</v>
      </c>
      <c r="B211" s="8">
        <v>10.0</v>
      </c>
      <c r="C211" s="8">
        <v>13.0</v>
      </c>
      <c r="D211" s="8">
        <v>16.0</v>
      </c>
      <c r="E211" s="8">
        <v>23.0</v>
      </c>
      <c r="F211" s="8">
        <v>30.0</v>
      </c>
      <c r="G211" s="8">
        <v>49.0</v>
      </c>
      <c r="H211" s="9">
        <v>24.0</v>
      </c>
      <c r="I211" s="4">
        <v>43438.0</v>
      </c>
      <c r="J211" s="5" t="s">
        <v>417</v>
      </c>
      <c r="K211" s="11" t="s">
        <v>418</v>
      </c>
    </row>
    <row r="212">
      <c r="A212" s="7">
        <v>211.0</v>
      </c>
      <c r="B212" s="8">
        <v>9.0</v>
      </c>
      <c r="C212" s="8">
        <v>13.0</v>
      </c>
      <c r="D212" s="8">
        <v>23.0</v>
      </c>
      <c r="E212" s="8">
        <v>27.0</v>
      </c>
      <c r="F212" s="8">
        <v>39.0</v>
      </c>
      <c r="G212" s="8">
        <v>42.0</v>
      </c>
      <c r="H212" s="9">
        <v>49.0</v>
      </c>
      <c r="I212" s="4">
        <v>43440.0</v>
      </c>
      <c r="J212" s="5" t="s">
        <v>419</v>
      </c>
      <c r="K212" s="10" t="s">
        <v>420</v>
      </c>
    </row>
    <row r="213">
      <c r="A213" s="7">
        <v>212.0</v>
      </c>
      <c r="B213" s="8">
        <v>3.0</v>
      </c>
      <c r="C213" s="8">
        <v>6.0</v>
      </c>
      <c r="D213" s="8">
        <v>9.0</v>
      </c>
      <c r="E213" s="8">
        <v>31.0</v>
      </c>
      <c r="F213" s="8">
        <v>48.0</v>
      </c>
      <c r="G213" s="8">
        <v>54.0</v>
      </c>
      <c r="H213" s="9">
        <v>53.0</v>
      </c>
      <c r="I213" s="4">
        <v>43442.0</v>
      </c>
      <c r="J213" s="5" t="s">
        <v>421</v>
      </c>
      <c r="K213" s="11" t="s">
        <v>422</v>
      </c>
    </row>
    <row r="214">
      <c r="A214" s="7">
        <v>213.0</v>
      </c>
      <c r="B214" s="8">
        <v>1.0</v>
      </c>
      <c r="C214" s="8">
        <v>5.0</v>
      </c>
      <c r="D214" s="8">
        <v>11.0</v>
      </c>
      <c r="E214" s="8">
        <v>37.0</v>
      </c>
      <c r="F214" s="8">
        <v>39.0</v>
      </c>
      <c r="G214" s="8">
        <v>44.0</v>
      </c>
      <c r="H214" s="9">
        <v>31.0</v>
      </c>
      <c r="I214" s="4">
        <v>43445.0</v>
      </c>
      <c r="J214" s="5" t="s">
        <v>423</v>
      </c>
      <c r="K214" s="10" t="s">
        <v>424</v>
      </c>
    </row>
    <row r="215">
      <c r="A215" s="7">
        <v>214.0</v>
      </c>
      <c r="B215" s="8">
        <v>2.0</v>
      </c>
      <c r="C215" s="8">
        <v>11.0</v>
      </c>
      <c r="D215" s="8">
        <v>14.0</v>
      </c>
      <c r="E215" s="8">
        <v>36.0</v>
      </c>
      <c r="F215" s="8">
        <v>49.0</v>
      </c>
      <c r="G215" s="8">
        <v>55.0</v>
      </c>
      <c r="H215" s="9">
        <v>53.0</v>
      </c>
      <c r="I215" s="4">
        <v>43447.0</v>
      </c>
      <c r="J215" s="5" t="s">
        <v>425</v>
      </c>
      <c r="K215" s="11" t="s">
        <v>426</v>
      </c>
    </row>
    <row r="216">
      <c r="A216" s="7">
        <v>215.0</v>
      </c>
      <c r="B216" s="8">
        <v>14.0</v>
      </c>
      <c r="C216" s="8">
        <v>17.0</v>
      </c>
      <c r="D216" s="8">
        <v>49.0</v>
      </c>
      <c r="E216" s="8">
        <v>52.0</v>
      </c>
      <c r="F216" s="8">
        <v>53.0</v>
      </c>
      <c r="G216" s="8">
        <v>55.0</v>
      </c>
      <c r="H216" s="9">
        <v>12.0</v>
      </c>
      <c r="I216" s="4">
        <v>43449.0</v>
      </c>
      <c r="J216" s="5" t="s">
        <v>427</v>
      </c>
      <c r="K216" s="12" t="s">
        <v>428</v>
      </c>
    </row>
    <row r="217">
      <c r="A217" s="7">
        <v>216.0</v>
      </c>
      <c r="B217" s="8">
        <v>1.0</v>
      </c>
      <c r="C217" s="8">
        <v>9.0</v>
      </c>
      <c r="D217" s="8">
        <v>15.0</v>
      </c>
      <c r="E217" s="8">
        <v>17.0</v>
      </c>
      <c r="F217" s="8">
        <v>25.0</v>
      </c>
      <c r="G217" s="8">
        <v>26.0</v>
      </c>
      <c r="H217" s="9">
        <v>8.0</v>
      </c>
      <c r="I217" s="4">
        <v>43452.0</v>
      </c>
      <c r="J217" s="5" t="s">
        <v>429</v>
      </c>
      <c r="K217" s="11" t="s">
        <v>430</v>
      </c>
    </row>
    <row r="218">
      <c r="A218" s="7">
        <v>217.0</v>
      </c>
      <c r="B218" s="8">
        <v>8.0</v>
      </c>
      <c r="C218" s="8">
        <v>17.0</v>
      </c>
      <c r="D218" s="8">
        <v>24.0</v>
      </c>
      <c r="E218" s="8">
        <v>33.0</v>
      </c>
      <c r="F218" s="8">
        <v>34.0</v>
      </c>
      <c r="G218" s="8">
        <v>44.0</v>
      </c>
      <c r="H218" s="9">
        <v>55.0</v>
      </c>
      <c r="I218" s="4">
        <v>43454.0</v>
      </c>
      <c r="J218" s="5" t="s">
        <v>431</v>
      </c>
      <c r="K218" s="10" t="s">
        <v>432</v>
      </c>
    </row>
    <row r="219">
      <c r="A219" s="7">
        <v>218.0</v>
      </c>
      <c r="B219" s="8">
        <v>3.0</v>
      </c>
      <c r="C219" s="8">
        <v>8.0</v>
      </c>
      <c r="D219" s="8">
        <v>16.0</v>
      </c>
      <c r="E219" s="8">
        <v>35.0</v>
      </c>
      <c r="F219" s="8">
        <v>39.0</v>
      </c>
      <c r="G219" s="8">
        <v>52.0</v>
      </c>
      <c r="H219" s="9">
        <v>29.0</v>
      </c>
      <c r="I219" s="4">
        <v>43456.0</v>
      </c>
      <c r="J219" s="5" t="s">
        <v>433</v>
      </c>
      <c r="K219" s="11" t="s">
        <v>434</v>
      </c>
    </row>
    <row r="220">
      <c r="A220" s="7">
        <v>219.0</v>
      </c>
      <c r="B220" s="8">
        <v>3.0</v>
      </c>
      <c r="C220" s="8">
        <v>9.0</v>
      </c>
      <c r="D220" s="8">
        <v>17.0</v>
      </c>
      <c r="E220" s="8">
        <v>21.0</v>
      </c>
      <c r="F220" s="8">
        <v>23.0</v>
      </c>
      <c r="G220" s="8">
        <v>51.0</v>
      </c>
      <c r="H220" s="9">
        <v>15.0</v>
      </c>
      <c r="I220" s="4">
        <v>43459.0</v>
      </c>
      <c r="J220" s="5" t="s">
        <v>435</v>
      </c>
      <c r="K220" s="12" t="s">
        <v>436</v>
      </c>
    </row>
    <row r="221">
      <c r="A221" s="7">
        <v>220.0</v>
      </c>
      <c r="B221" s="8">
        <v>5.0</v>
      </c>
      <c r="C221" s="8">
        <v>20.0</v>
      </c>
      <c r="D221" s="8">
        <v>33.0</v>
      </c>
      <c r="E221" s="8">
        <v>42.0</v>
      </c>
      <c r="F221" s="8">
        <v>43.0</v>
      </c>
      <c r="G221" s="8">
        <v>50.0</v>
      </c>
      <c r="H221" s="9">
        <v>40.0</v>
      </c>
      <c r="I221" s="4">
        <v>43461.0</v>
      </c>
      <c r="J221" s="5" t="s">
        <v>437</v>
      </c>
      <c r="K221" s="11" t="s">
        <v>438</v>
      </c>
    </row>
    <row r="222">
      <c r="A222" s="7">
        <v>221.0</v>
      </c>
      <c r="B222" s="8">
        <v>8.0</v>
      </c>
      <c r="C222" s="8">
        <v>36.0</v>
      </c>
      <c r="D222" s="8">
        <v>42.0</v>
      </c>
      <c r="E222" s="8">
        <v>43.0</v>
      </c>
      <c r="F222" s="8">
        <v>50.0</v>
      </c>
      <c r="G222" s="8">
        <v>52.0</v>
      </c>
      <c r="H222" s="9">
        <v>30.0</v>
      </c>
      <c r="I222" s="4">
        <v>43463.0</v>
      </c>
      <c r="J222" s="5" t="s">
        <v>439</v>
      </c>
      <c r="K222" s="10" t="s">
        <v>440</v>
      </c>
    </row>
    <row r="223">
      <c r="A223" s="7">
        <v>222.0</v>
      </c>
      <c r="B223" s="8">
        <v>2.0</v>
      </c>
      <c r="C223" s="8">
        <v>19.0</v>
      </c>
      <c r="D223" s="8">
        <v>21.0</v>
      </c>
      <c r="E223" s="8">
        <v>27.0</v>
      </c>
      <c r="F223" s="8">
        <v>37.0</v>
      </c>
      <c r="G223" s="8">
        <v>46.0</v>
      </c>
      <c r="H223" s="9">
        <v>12.0</v>
      </c>
      <c r="I223" s="4">
        <v>43466.0</v>
      </c>
      <c r="J223" s="5" t="s">
        <v>441</v>
      </c>
      <c r="K223" s="13" t="s">
        <v>442</v>
      </c>
    </row>
    <row r="224">
      <c r="A224" s="7">
        <v>223.0</v>
      </c>
      <c r="B224" s="8">
        <v>23.0</v>
      </c>
      <c r="C224" s="8">
        <v>31.0</v>
      </c>
      <c r="D224" s="8">
        <v>37.0</v>
      </c>
      <c r="E224" s="8">
        <v>45.0</v>
      </c>
      <c r="F224" s="8">
        <v>49.0</v>
      </c>
      <c r="G224" s="8">
        <v>54.0</v>
      </c>
      <c r="H224" s="9">
        <v>18.0</v>
      </c>
      <c r="I224" s="4">
        <v>43468.0</v>
      </c>
      <c r="J224" s="5" t="s">
        <v>443</v>
      </c>
      <c r="K224" s="10" t="s">
        <v>444</v>
      </c>
    </row>
    <row r="225">
      <c r="A225" s="7">
        <v>224.0</v>
      </c>
      <c r="B225" s="8">
        <v>10.0</v>
      </c>
      <c r="C225" s="8">
        <v>11.0</v>
      </c>
      <c r="D225" s="8">
        <v>38.0</v>
      </c>
      <c r="E225" s="8">
        <v>47.0</v>
      </c>
      <c r="F225" s="8">
        <v>53.0</v>
      </c>
      <c r="G225" s="8">
        <v>55.0</v>
      </c>
      <c r="H225" s="9">
        <v>51.0</v>
      </c>
      <c r="I225" s="4">
        <v>43470.0</v>
      </c>
      <c r="J225" s="5" t="s">
        <v>445</v>
      </c>
      <c r="K225" s="13" t="s">
        <v>446</v>
      </c>
    </row>
    <row r="226">
      <c r="A226" s="7">
        <v>225.0</v>
      </c>
      <c r="B226" s="8">
        <v>3.0</v>
      </c>
      <c r="C226" s="8">
        <v>5.0</v>
      </c>
      <c r="D226" s="8">
        <v>9.0</v>
      </c>
      <c r="E226" s="8">
        <v>11.0</v>
      </c>
      <c r="F226" s="8">
        <v>45.0</v>
      </c>
      <c r="G226" s="8">
        <v>48.0</v>
      </c>
      <c r="H226" s="9">
        <v>40.0</v>
      </c>
      <c r="I226" s="4">
        <v>43473.0</v>
      </c>
      <c r="J226" s="5" t="s">
        <v>447</v>
      </c>
      <c r="K226" s="10" t="s">
        <v>448</v>
      </c>
    </row>
    <row r="227">
      <c r="A227" s="7">
        <v>226.0</v>
      </c>
      <c r="B227" s="8">
        <v>12.0</v>
      </c>
      <c r="C227" s="8">
        <v>22.0</v>
      </c>
      <c r="D227" s="8">
        <v>31.0</v>
      </c>
      <c r="E227" s="8">
        <v>35.0</v>
      </c>
      <c r="F227" s="8">
        <v>40.0</v>
      </c>
      <c r="G227" s="8">
        <v>47.0</v>
      </c>
      <c r="H227" s="9">
        <v>8.0</v>
      </c>
      <c r="I227" s="4">
        <v>43475.0</v>
      </c>
      <c r="J227" s="5" t="s">
        <v>449</v>
      </c>
      <c r="K227" s="13" t="s">
        <v>450</v>
      </c>
    </row>
    <row r="228">
      <c r="A228" s="7">
        <v>227.0</v>
      </c>
      <c r="B228" s="8">
        <v>7.0</v>
      </c>
      <c r="C228" s="8">
        <v>13.0</v>
      </c>
      <c r="D228" s="8">
        <v>14.0</v>
      </c>
      <c r="E228" s="8">
        <v>26.0</v>
      </c>
      <c r="F228" s="8">
        <v>42.0</v>
      </c>
      <c r="G228" s="8">
        <v>54.0</v>
      </c>
      <c r="H228" s="9">
        <v>11.0</v>
      </c>
      <c r="I228" s="4">
        <v>43477.0</v>
      </c>
      <c r="J228" s="5" t="s">
        <v>451</v>
      </c>
      <c r="K228" s="10" t="s">
        <v>452</v>
      </c>
    </row>
    <row r="229">
      <c r="A229" s="7">
        <v>228.0</v>
      </c>
      <c r="B229" s="8">
        <v>4.0</v>
      </c>
      <c r="C229" s="8">
        <v>6.0</v>
      </c>
      <c r="D229" s="8">
        <v>13.0</v>
      </c>
      <c r="E229" s="8">
        <v>22.0</v>
      </c>
      <c r="F229" s="8">
        <v>29.0</v>
      </c>
      <c r="G229" s="8">
        <v>30.0</v>
      </c>
      <c r="H229" s="9">
        <v>52.0</v>
      </c>
      <c r="I229" s="4">
        <v>43480.0</v>
      </c>
      <c r="J229" s="5" t="s">
        <v>453</v>
      </c>
      <c r="K229" s="11" t="s">
        <v>454</v>
      </c>
    </row>
    <row r="230">
      <c r="A230" s="7">
        <v>229.0</v>
      </c>
      <c r="B230" s="8">
        <v>13.0</v>
      </c>
      <c r="C230" s="8">
        <v>14.0</v>
      </c>
      <c r="D230" s="8">
        <v>22.0</v>
      </c>
      <c r="E230" s="8">
        <v>34.0</v>
      </c>
      <c r="F230" s="8">
        <v>35.0</v>
      </c>
      <c r="G230" s="8">
        <v>55.0</v>
      </c>
      <c r="H230" s="9">
        <v>54.0</v>
      </c>
      <c r="I230" s="4">
        <v>43482.0</v>
      </c>
      <c r="J230" s="5" t="s">
        <v>455</v>
      </c>
      <c r="K230" s="10" t="s">
        <v>456</v>
      </c>
    </row>
    <row r="231">
      <c r="A231" s="7">
        <v>230.0</v>
      </c>
      <c r="B231" s="8">
        <v>13.0</v>
      </c>
      <c r="C231" s="8">
        <v>29.0</v>
      </c>
      <c r="D231" s="8">
        <v>42.0</v>
      </c>
      <c r="E231" s="8">
        <v>46.0</v>
      </c>
      <c r="F231" s="8">
        <v>51.0</v>
      </c>
      <c r="G231" s="8">
        <v>53.0</v>
      </c>
      <c r="H231" s="9">
        <v>36.0</v>
      </c>
      <c r="I231" s="4">
        <v>43484.0</v>
      </c>
      <c r="J231" s="5" t="s">
        <v>457</v>
      </c>
      <c r="K231" s="11" t="s">
        <v>458</v>
      </c>
    </row>
    <row r="232">
      <c r="A232" s="7">
        <v>231.0</v>
      </c>
      <c r="B232" s="8">
        <v>1.0</v>
      </c>
      <c r="C232" s="8">
        <v>14.0</v>
      </c>
      <c r="D232" s="8">
        <v>22.0</v>
      </c>
      <c r="E232" s="8">
        <v>40.0</v>
      </c>
      <c r="F232" s="8">
        <v>52.0</v>
      </c>
      <c r="G232" s="8">
        <v>55.0</v>
      </c>
      <c r="H232" s="9">
        <v>21.0</v>
      </c>
      <c r="I232" s="4">
        <v>43487.0</v>
      </c>
      <c r="J232" s="5" t="s">
        <v>459</v>
      </c>
      <c r="K232" s="10" t="s">
        <v>460</v>
      </c>
    </row>
    <row r="233">
      <c r="A233" s="7">
        <v>232.0</v>
      </c>
      <c r="B233" s="8">
        <v>31.0</v>
      </c>
      <c r="C233" s="8">
        <v>35.0</v>
      </c>
      <c r="D233" s="8">
        <v>38.0</v>
      </c>
      <c r="E233" s="8">
        <v>44.0</v>
      </c>
      <c r="F233" s="8">
        <v>49.0</v>
      </c>
      <c r="G233" s="8">
        <v>55.0</v>
      </c>
      <c r="H233" s="9">
        <v>24.0</v>
      </c>
      <c r="I233" s="4">
        <v>43489.0</v>
      </c>
      <c r="J233" s="5" t="s">
        <v>461</v>
      </c>
      <c r="K233" s="11" t="s">
        <v>462</v>
      </c>
    </row>
    <row r="234">
      <c r="A234" s="7">
        <v>233.0</v>
      </c>
      <c r="B234" s="8">
        <v>20.0</v>
      </c>
      <c r="C234" s="8">
        <v>27.0</v>
      </c>
      <c r="D234" s="8">
        <v>33.0</v>
      </c>
      <c r="E234" s="8">
        <v>43.0</v>
      </c>
      <c r="F234" s="8">
        <v>53.0</v>
      </c>
      <c r="G234" s="8">
        <v>54.0</v>
      </c>
      <c r="H234" s="9">
        <v>48.0</v>
      </c>
      <c r="I234" s="4">
        <v>43491.0</v>
      </c>
      <c r="J234" s="5" t="s">
        <v>463</v>
      </c>
      <c r="K234" s="10" t="s">
        <v>464</v>
      </c>
    </row>
    <row r="235">
      <c r="A235" s="7">
        <v>234.0</v>
      </c>
      <c r="B235" s="8">
        <v>15.0</v>
      </c>
      <c r="C235" s="8">
        <v>20.0</v>
      </c>
      <c r="D235" s="8">
        <v>26.0</v>
      </c>
      <c r="E235" s="8">
        <v>41.0</v>
      </c>
      <c r="F235" s="8">
        <v>45.0</v>
      </c>
      <c r="G235" s="8">
        <v>55.0</v>
      </c>
      <c r="H235" s="9">
        <v>10.0</v>
      </c>
      <c r="I235" s="4">
        <v>43494.0</v>
      </c>
      <c r="J235" s="5" t="s">
        <v>465</v>
      </c>
      <c r="K235" s="11" t="s">
        <v>466</v>
      </c>
    </row>
    <row r="236">
      <c r="A236" s="7">
        <v>235.0</v>
      </c>
      <c r="B236" s="8">
        <v>10.0</v>
      </c>
      <c r="C236" s="8">
        <v>19.0</v>
      </c>
      <c r="D236" s="8">
        <v>20.0</v>
      </c>
      <c r="E236" s="8">
        <v>28.0</v>
      </c>
      <c r="F236" s="8">
        <v>34.0</v>
      </c>
      <c r="G236" s="8">
        <v>44.0</v>
      </c>
      <c r="H236" s="9">
        <v>29.0</v>
      </c>
      <c r="I236" s="4">
        <v>43496.0</v>
      </c>
      <c r="J236" s="5" t="s">
        <v>467</v>
      </c>
      <c r="K236" s="10" t="s">
        <v>468</v>
      </c>
    </row>
    <row r="237">
      <c r="A237" s="7">
        <v>236.0</v>
      </c>
      <c r="B237" s="8">
        <v>11.0</v>
      </c>
      <c r="C237" s="8">
        <v>23.0</v>
      </c>
      <c r="D237" s="8">
        <v>27.0</v>
      </c>
      <c r="E237" s="8">
        <v>35.0</v>
      </c>
      <c r="F237" s="8">
        <v>36.0</v>
      </c>
      <c r="G237" s="8">
        <v>46.0</v>
      </c>
      <c r="H237" s="9">
        <v>37.0</v>
      </c>
      <c r="I237" s="4">
        <v>43498.0</v>
      </c>
      <c r="J237" s="5" t="s">
        <v>469</v>
      </c>
      <c r="K237" s="11" t="s">
        <v>470</v>
      </c>
    </row>
    <row r="238">
      <c r="A238" s="7">
        <v>237.0</v>
      </c>
      <c r="B238" s="8">
        <v>20.0</v>
      </c>
      <c r="C238" s="8">
        <v>27.0</v>
      </c>
      <c r="D238" s="8">
        <v>28.0</v>
      </c>
      <c r="E238" s="8">
        <v>32.0</v>
      </c>
      <c r="F238" s="8">
        <v>47.0</v>
      </c>
      <c r="G238" s="8">
        <v>50.0</v>
      </c>
      <c r="H238" s="9">
        <v>41.0</v>
      </c>
      <c r="I238" s="4">
        <v>43503.0</v>
      </c>
      <c r="J238" s="5" t="s">
        <v>471</v>
      </c>
      <c r="K238" s="10" t="s">
        <v>472</v>
      </c>
    </row>
    <row r="239">
      <c r="A239" s="7">
        <v>238.0</v>
      </c>
      <c r="B239" s="8">
        <v>2.0</v>
      </c>
      <c r="C239" s="8">
        <v>14.0</v>
      </c>
      <c r="D239" s="8">
        <v>15.0</v>
      </c>
      <c r="E239" s="8">
        <v>44.0</v>
      </c>
      <c r="F239" s="8">
        <v>46.0</v>
      </c>
      <c r="G239" s="8">
        <v>50.0</v>
      </c>
      <c r="H239" s="9">
        <v>18.0</v>
      </c>
      <c r="I239" s="4">
        <v>43505.0</v>
      </c>
      <c r="J239" s="5" t="s">
        <v>473</v>
      </c>
      <c r="K239" s="11" t="s">
        <v>474</v>
      </c>
    </row>
    <row r="240">
      <c r="A240" s="7">
        <v>239.0</v>
      </c>
      <c r="B240" s="8">
        <v>1.0</v>
      </c>
      <c r="C240" s="8">
        <v>12.0</v>
      </c>
      <c r="D240" s="8">
        <v>17.0</v>
      </c>
      <c r="E240" s="8">
        <v>34.0</v>
      </c>
      <c r="F240" s="8">
        <v>48.0</v>
      </c>
      <c r="G240" s="8">
        <v>49.0</v>
      </c>
      <c r="H240" s="9">
        <v>47.0</v>
      </c>
      <c r="I240" s="4">
        <v>43508.0</v>
      </c>
      <c r="J240" s="5" t="s">
        <v>475</v>
      </c>
      <c r="K240" s="10" t="s">
        <v>476</v>
      </c>
    </row>
    <row r="241">
      <c r="A241" s="7">
        <v>240.0</v>
      </c>
      <c r="B241" s="8">
        <v>8.0</v>
      </c>
      <c r="C241" s="8">
        <v>15.0</v>
      </c>
      <c r="D241" s="8">
        <v>26.0</v>
      </c>
      <c r="E241" s="8">
        <v>41.0</v>
      </c>
      <c r="F241" s="8">
        <v>43.0</v>
      </c>
      <c r="G241" s="8">
        <v>53.0</v>
      </c>
      <c r="H241" s="9">
        <v>46.0</v>
      </c>
      <c r="I241" s="4">
        <v>43510.0</v>
      </c>
      <c r="J241" s="5" t="s">
        <v>477</v>
      </c>
      <c r="K241" s="11" t="s">
        <v>478</v>
      </c>
    </row>
    <row r="242">
      <c r="A242" s="7">
        <v>241.0</v>
      </c>
      <c r="B242" s="8">
        <v>5.0</v>
      </c>
      <c r="C242" s="8">
        <v>8.0</v>
      </c>
      <c r="D242" s="8">
        <v>14.0</v>
      </c>
      <c r="E242" s="8">
        <v>28.0</v>
      </c>
      <c r="F242" s="8">
        <v>37.0</v>
      </c>
      <c r="G242" s="8">
        <v>40.0</v>
      </c>
      <c r="H242" s="9">
        <v>41.0</v>
      </c>
      <c r="I242" s="4">
        <v>43512.0</v>
      </c>
      <c r="J242" s="5" t="s">
        <v>479</v>
      </c>
      <c r="K242" s="10" t="s">
        <v>480</v>
      </c>
    </row>
    <row r="243">
      <c r="A243" s="7">
        <v>242.0</v>
      </c>
      <c r="B243" s="8">
        <v>12.0</v>
      </c>
      <c r="C243" s="8">
        <v>18.0</v>
      </c>
      <c r="D243" s="8">
        <v>22.0</v>
      </c>
      <c r="E243" s="8">
        <v>29.0</v>
      </c>
      <c r="F243" s="8">
        <v>32.0</v>
      </c>
      <c r="G243" s="8">
        <v>52.0</v>
      </c>
      <c r="H243" s="9">
        <v>51.0</v>
      </c>
      <c r="I243" s="4">
        <v>43515.0</v>
      </c>
      <c r="J243" s="5" t="s">
        <v>481</v>
      </c>
      <c r="K243" s="11" t="s">
        <v>482</v>
      </c>
    </row>
    <row r="244">
      <c r="A244" s="7">
        <v>243.0</v>
      </c>
      <c r="B244" s="8">
        <v>3.0</v>
      </c>
      <c r="C244" s="8">
        <v>10.0</v>
      </c>
      <c r="D244" s="8">
        <v>11.0</v>
      </c>
      <c r="E244" s="8">
        <v>15.0</v>
      </c>
      <c r="F244" s="8">
        <v>29.0</v>
      </c>
      <c r="G244" s="8">
        <v>34.0</v>
      </c>
      <c r="H244" s="9">
        <v>50.0</v>
      </c>
      <c r="I244" s="4">
        <v>43517.0</v>
      </c>
      <c r="J244" s="5" t="s">
        <v>483</v>
      </c>
      <c r="K244" s="12" t="s">
        <v>484</v>
      </c>
    </row>
    <row r="245">
      <c r="A245" s="7">
        <v>244.0</v>
      </c>
      <c r="B245" s="8">
        <v>16.0</v>
      </c>
      <c r="C245" s="8">
        <v>19.0</v>
      </c>
      <c r="D245" s="8">
        <v>30.0</v>
      </c>
      <c r="E245" s="8">
        <v>39.0</v>
      </c>
      <c r="F245" s="8">
        <v>43.0</v>
      </c>
      <c r="G245" s="8">
        <v>52.0</v>
      </c>
      <c r="H245" s="9">
        <v>21.0</v>
      </c>
      <c r="I245" s="4">
        <v>43519.0</v>
      </c>
      <c r="J245" s="5" t="s">
        <v>485</v>
      </c>
      <c r="K245" s="11" t="s">
        <v>486</v>
      </c>
    </row>
    <row r="246">
      <c r="A246" s="7">
        <v>245.0</v>
      </c>
      <c r="B246" s="8">
        <v>8.0</v>
      </c>
      <c r="C246" s="8">
        <v>9.0</v>
      </c>
      <c r="D246" s="8">
        <v>16.0</v>
      </c>
      <c r="E246" s="8">
        <v>34.0</v>
      </c>
      <c r="F246" s="8">
        <v>42.0</v>
      </c>
      <c r="G246" s="8">
        <v>43.0</v>
      </c>
      <c r="H246" s="9">
        <v>45.0</v>
      </c>
      <c r="I246" s="4">
        <v>43522.0</v>
      </c>
      <c r="J246" s="5" t="s">
        <v>487</v>
      </c>
      <c r="K246" s="10" t="s">
        <v>488</v>
      </c>
    </row>
    <row r="247">
      <c r="A247" s="7">
        <v>246.0</v>
      </c>
      <c r="B247" s="8">
        <v>4.0</v>
      </c>
      <c r="C247" s="8">
        <v>15.0</v>
      </c>
      <c r="D247" s="8">
        <v>19.0</v>
      </c>
      <c r="E247" s="8">
        <v>34.0</v>
      </c>
      <c r="F247" s="8">
        <v>40.0</v>
      </c>
      <c r="G247" s="8">
        <v>42.0</v>
      </c>
      <c r="H247" s="9">
        <v>49.0</v>
      </c>
      <c r="I247" s="4">
        <v>43524.0</v>
      </c>
      <c r="J247" s="5" t="s">
        <v>489</v>
      </c>
      <c r="K247" s="13" t="s">
        <v>490</v>
      </c>
    </row>
    <row r="248">
      <c r="A248" s="7">
        <v>247.0</v>
      </c>
      <c r="B248" s="8">
        <v>1.0</v>
      </c>
      <c r="C248" s="8">
        <v>2.0</v>
      </c>
      <c r="D248" s="8">
        <v>3.0</v>
      </c>
      <c r="E248" s="8">
        <v>20.0</v>
      </c>
      <c r="F248" s="8">
        <v>46.0</v>
      </c>
      <c r="G248" s="8">
        <v>48.0</v>
      </c>
      <c r="H248" s="9">
        <v>31.0</v>
      </c>
      <c r="I248" s="4">
        <v>43526.0</v>
      </c>
      <c r="J248" s="5" t="s">
        <v>491</v>
      </c>
      <c r="K248" s="10" t="s">
        <v>492</v>
      </c>
    </row>
    <row r="249">
      <c r="A249" s="7">
        <v>248.0</v>
      </c>
      <c r="B249" s="8">
        <v>1.0</v>
      </c>
      <c r="C249" s="8">
        <v>15.0</v>
      </c>
      <c r="D249" s="8">
        <v>23.0</v>
      </c>
      <c r="E249" s="8">
        <v>51.0</v>
      </c>
      <c r="F249" s="8">
        <v>53.0</v>
      </c>
      <c r="G249" s="8">
        <v>55.0</v>
      </c>
      <c r="H249" s="9">
        <v>26.0</v>
      </c>
      <c r="I249" s="4">
        <v>43529.0</v>
      </c>
      <c r="J249" s="5" t="s">
        <v>493</v>
      </c>
      <c r="K249" s="11" t="s">
        <v>494</v>
      </c>
    </row>
    <row r="250">
      <c r="A250" s="7">
        <v>249.0</v>
      </c>
      <c r="B250" s="8">
        <v>2.0</v>
      </c>
      <c r="C250" s="8">
        <v>14.0</v>
      </c>
      <c r="D250" s="8">
        <v>20.0</v>
      </c>
      <c r="E250" s="8">
        <v>33.0</v>
      </c>
      <c r="F250" s="8">
        <v>41.0</v>
      </c>
      <c r="G250" s="8">
        <v>47.0</v>
      </c>
      <c r="H250" s="9">
        <v>27.0</v>
      </c>
      <c r="I250" s="4">
        <v>43531.0</v>
      </c>
      <c r="J250" s="5" t="s">
        <v>495</v>
      </c>
      <c r="K250" s="10" t="s">
        <v>496</v>
      </c>
    </row>
    <row r="251">
      <c r="A251" s="7">
        <v>250.0</v>
      </c>
      <c r="B251" s="8">
        <v>18.0</v>
      </c>
      <c r="C251" s="8">
        <v>24.0</v>
      </c>
      <c r="D251" s="8">
        <v>31.0</v>
      </c>
      <c r="E251" s="8">
        <v>34.0</v>
      </c>
      <c r="F251" s="8">
        <v>35.0</v>
      </c>
      <c r="G251" s="8">
        <v>44.0</v>
      </c>
      <c r="H251" s="9">
        <v>52.0</v>
      </c>
      <c r="I251" s="4">
        <v>43533.0</v>
      </c>
      <c r="J251" s="5" t="s">
        <v>497</v>
      </c>
      <c r="K251" s="13" t="s">
        <v>498</v>
      </c>
    </row>
    <row r="252">
      <c r="A252" s="7">
        <v>251.0</v>
      </c>
      <c r="B252" s="8">
        <v>9.0</v>
      </c>
      <c r="C252" s="8">
        <v>16.0</v>
      </c>
      <c r="D252" s="8">
        <v>26.0</v>
      </c>
      <c r="E252" s="8">
        <v>34.0</v>
      </c>
      <c r="F252" s="8">
        <v>44.0</v>
      </c>
      <c r="G252" s="8">
        <v>49.0</v>
      </c>
      <c r="H252" s="9">
        <v>19.0</v>
      </c>
      <c r="I252" s="4">
        <v>43536.0</v>
      </c>
      <c r="J252" s="5" t="s">
        <v>499</v>
      </c>
      <c r="K252" s="12" t="s">
        <v>500</v>
      </c>
    </row>
    <row r="253">
      <c r="A253" s="7">
        <v>252.0</v>
      </c>
      <c r="B253" s="8">
        <v>18.0</v>
      </c>
      <c r="C253" s="8">
        <v>21.0</v>
      </c>
      <c r="D253" s="8">
        <v>25.0</v>
      </c>
      <c r="E253" s="8">
        <v>35.0</v>
      </c>
      <c r="F253" s="8">
        <v>44.0</v>
      </c>
      <c r="G253" s="8">
        <v>53.0</v>
      </c>
      <c r="H253" s="9">
        <v>4.0</v>
      </c>
      <c r="I253" s="4">
        <v>43538.0</v>
      </c>
      <c r="J253" s="5" t="s">
        <v>501</v>
      </c>
      <c r="K253" s="13" t="s">
        <v>502</v>
      </c>
    </row>
    <row r="254">
      <c r="A254" s="7">
        <v>253.0</v>
      </c>
      <c r="B254" s="8">
        <v>10.0</v>
      </c>
      <c r="C254" s="8">
        <v>18.0</v>
      </c>
      <c r="D254" s="8">
        <v>22.0</v>
      </c>
      <c r="E254" s="8">
        <v>24.0</v>
      </c>
      <c r="F254" s="8">
        <v>35.0</v>
      </c>
      <c r="G254" s="8">
        <v>40.0</v>
      </c>
      <c r="H254" s="9">
        <v>53.0</v>
      </c>
      <c r="I254" s="4">
        <v>43540.0</v>
      </c>
      <c r="J254" s="5" t="s">
        <v>503</v>
      </c>
      <c r="K254" s="10" t="s">
        <v>504</v>
      </c>
    </row>
    <row r="255">
      <c r="A255" s="7">
        <v>254.0</v>
      </c>
      <c r="B255" s="8">
        <v>8.0</v>
      </c>
      <c r="C255" s="8">
        <v>28.0</v>
      </c>
      <c r="D255" s="8">
        <v>32.0</v>
      </c>
      <c r="E255" s="8">
        <v>35.0</v>
      </c>
      <c r="F255" s="8">
        <v>40.0</v>
      </c>
      <c r="G255" s="8">
        <v>45.0</v>
      </c>
      <c r="H255" s="9">
        <v>34.0</v>
      </c>
      <c r="I255" s="4">
        <v>43543.0</v>
      </c>
      <c r="J255" s="5" t="s">
        <v>505</v>
      </c>
      <c r="K255" s="11" t="s">
        <v>506</v>
      </c>
    </row>
    <row r="256">
      <c r="A256" s="7">
        <v>255.0</v>
      </c>
      <c r="B256" s="8">
        <v>7.0</v>
      </c>
      <c r="C256" s="8">
        <v>18.0</v>
      </c>
      <c r="D256" s="8">
        <v>32.0</v>
      </c>
      <c r="E256" s="8">
        <v>42.0</v>
      </c>
      <c r="F256" s="8">
        <v>46.0</v>
      </c>
      <c r="G256" s="8">
        <v>53.0</v>
      </c>
      <c r="H256" s="9">
        <v>28.0</v>
      </c>
      <c r="I256" s="4">
        <v>43545.0</v>
      </c>
      <c r="J256" s="5" t="s">
        <v>507</v>
      </c>
      <c r="K256" s="10" t="s">
        <v>508</v>
      </c>
    </row>
    <row r="257">
      <c r="A257" s="7">
        <v>256.0</v>
      </c>
      <c r="B257" s="8">
        <v>3.0</v>
      </c>
      <c r="C257" s="8">
        <v>9.0</v>
      </c>
      <c r="D257" s="8">
        <v>30.0</v>
      </c>
      <c r="E257" s="8">
        <v>41.0</v>
      </c>
      <c r="F257" s="8">
        <v>46.0</v>
      </c>
      <c r="G257" s="8">
        <v>52.0</v>
      </c>
      <c r="H257" s="9">
        <v>22.0</v>
      </c>
      <c r="I257" s="4">
        <v>43547.0</v>
      </c>
      <c r="J257" s="5" t="s">
        <v>509</v>
      </c>
      <c r="K257" s="11" t="s">
        <v>510</v>
      </c>
    </row>
    <row r="258">
      <c r="A258" s="7">
        <v>257.0</v>
      </c>
      <c r="B258" s="8">
        <v>15.0</v>
      </c>
      <c r="C258" s="8">
        <v>19.0</v>
      </c>
      <c r="D258" s="8">
        <v>28.0</v>
      </c>
      <c r="E258" s="8">
        <v>40.0</v>
      </c>
      <c r="F258" s="8">
        <v>44.0</v>
      </c>
      <c r="G258" s="8">
        <v>48.0</v>
      </c>
      <c r="H258" s="9">
        <v>14.0</v>
      </c>
      <c r="I258" s="4">
        <v>43550.0</v>
      </c>
      <c r="J258" s="5" t="s">
        <v>511</v>
      </c>
      <c r="K258" s="12" t="s">
        <v>512</v>
      </c>
    </row>
    <row r="259">
      <c r="A259" s="7">
        <v>258.0</v>
      </c>
      <c r="B259" s="8">
        <v>3.0</v>
      </c>
      <c r="C259" s="8">
        <v>23.0</v>
      </c>
      <c r="D259" s="8">
        <v>37.0</v>
      </c>
      <c r="E259" s="8">
        <v>43.0</v>
      </c>
      <c r="F259" s="8">
        <v>44.0</v>
      </c>
      <c r="G259" s="8">
        <v>49.0</v>
      </c>
      <c r="H259" s="9">
        <v>27.0</v>
      </c>
      <c r="I259" s="4">
        <v>43552.0</v>
      </c>
      <c r="J259" s="5" t="s">
        <v>513</v>
      </c>
      <c r="K259" s="11" t="s">
        <v>514</v>
      </c>
    </row>
    <row r="260">
      <c r="A260" s="7">
        <v>259.0</v>
      </c>
      <c r="B260" s="8">
        <v>3.0</v>
      </c>
      <c r="C260" s="8">
        <v>15.0</v>
      </c>
      <c r="D260" s="8">
        <v>18.0</v>
      </c>
      <c r="E260" s="8">
        <v>35.0</v>
      </c>
      <c r="F260" s="8">
        <v>50.0</v>
      </c>
      <c r="G260" s="8">
        <v>54.0</v>
      </c>
      <c r="H260" s="9">
        <v>32.0</v>
      </c>
      <c r="I260" s="4">
        <v>43554.0</v>
      </c>
      <c r="J260" s="5" t="s">
        <v>515</v>
      </c>
      <c r="K260" s="12" t="s">
        <v>516</v>
      </c>
    </row>
    <row r="261">
      <c r="A261" s="7">
        <v>260.0</v>
      </c>
      <c r="B261" s="8">
        <v>1.0</v>
      </c>
      <c r="C261" s="8">
        <v>4.0</v>
      </c>
      <c r="D261" s="8">
        <v>9.0</v>
      </c>
      <c r="E261" s="8">
        <v>20.0</v>
      </c>
      <c r="F261" s="8">
        <v>22.0</v>
      </c>
      <c r="G261" s="8">
        <v>26.0</v>
      </c>
      <c r="H261" s="9">
        <v>48.0</v>
      </c>
      <c r="I261" s="4">
        <v>43557.0</v>
      </c>
      <c r="J261" s="5" t="s">
        <v>517</v>
      </c>
      <c r="K261" s="11" t="s">
        <v>518</v>
      </c>
    </row>
    <row r="262">
      <c r="A262" s="7">
        <v>261.0</v>
      </c>
      <c r="B262" s="8">
        <v>16.0</v>
      </c>
      <c r="C262" s="8">
        <v>26.0</v>
      </c>
      <c r="D262" s="8">
        <v>29.0</v>
      </c>
      <c r="E262" s="8">
        <v>38.0</v>
      </c>
      <c r="F262" s="8">
        <v>47.0</v>
      </c>
      <c r="G262" s="8">
        <v>51.0</v>
      </c>
      <c r="H262" s="9">
        <v>13.0</v>
      </c>
      <c r="I262" s="4">
        <v>43559.0</v>
      </c>
      <c r="J262" s="5" t="s">
        <v>519</v>
      </c>
      <c r="K262" s="12" t="s">
        <v>520</v>
      </c>
    </row>
    <row r="263">
      <c r="A263" s="7">
        <v>262.0</v>
      </c>
      <c r="B263" s="8">
        <v>1.0</v>
      </c>
      <c r="C263" s="8">
        <v>20.0</v>
      </c>
      <c r="D263" s="8">
        <v>30.0</v>
      </c>
      <c r="E263" s="8">
        <v>41.0</v>
      </c>
      <c r="F263" s="8">
        <v>46.0</v>
      </c>
      <c r="G263" s="8">
        <v>50.0</v>
      </c>
      <c r="H263" s="9">
        <v>48.0</v>
      </c>
      <c r="I263" s="4">
        <v>43561.0</v>
      </c>
      <c r="J263" s="5" t="s">
        <v>521</v>
      </c>
      <c r="K263" s="11" t="s">
        <v>522</v>
      </c>
    </row>
    <row r="264">
      <c r="A264" s="7">
        <v>263.0</v>
      </c>
      <c r="B264" s="8">
        <v>10.0</v>
      </c>
      <c r="C264" s="8">
        <v>14.0</v>
      </c>
      <c r="D264" s="8">
        <v>19.0</v>
      </c>
      <c r="E264" s="8">
        <v>36.0</v>
      </c>
      <c r="F264" s="8">
        <v>48.0</v>
      </c>
      <c r="G264" s="8">
        <v>49.0</v>
      </c>
      <c r="H264" s="9">
        <v>3.0</v>
      </c>
      <c r="I264" s="4">
        <v>43564.0</v>
      </c>
      <c r="J264" s="5" t="s">
        <v>523</v>
      </c>
      <c r="K264" s="12" t="s">
        <v>524</v>
      </c>
    </row>
    <row r="265">
      <c r="A265" s="7">
        <v>264.0</v>
      </c>
      <c r="B265" s="8">
        <v>1.0</v>
      </c>
      <c r="C265" s="8">
        <v>8.0</v>
      </c>
      <c r="D265" s="8">
        <v>31.0</v>
      </c>
      <c r="E265" s="8">
        <v>32.0</v>
      </c>
      <c r="F265" s="8">
        <v>37.0</v>
      </c>
      <c r="G265" s="8">
        <v>55.0</v>
      </c>
      <c r="H265" s="9">
        <v>53.0</v>
      </c>
      <c r="I265" s="4">
        <v>43566.0</v>
      </c>
      <c r="J265" s="5" t="s">
        <v>525</v>
      </c>
      <c r="K265" s="11" t="s">
        <v>526</v>
      </c>
    </row>
    <row r="266">
      <c r="A266" s="7">
        <v>265.0</v>
      </c>
      <c r="B266" s="8">
        <v>9.0</v>
      </c>
      <c r="C266" s="8">
        <v>13.0</v>
      </c>
      <c r="D266" s="8">
        <v>20.0</v>
      </c>
      <c r="E266" s="8">
        <v>21.0</v>
      </c>
      <c r="F266" s="8">
        <v>36.0</v>
      </c>
      <c r="G266" s="8">
        <v>43.0</v>
      </c>
      <c r="H266" s="9">
        <v>32.0</v>
      </c>
      <c r="I266" s="4">
        <v>43568.0</v>
      </c>
      <c r="J266" s="5" t="s">
        <v>527</v>
      </c>
      <c r="K266" s="10" t="s">
        <v>528</v>
      </c>
    </row>
    <row r="267">
      <c r="A267" s="7">
        <v>266.0</v>
      </c>
      <c r="B267" s="8">
        <v>16.0</v>
      </c>
      <c r="C267" s="8">
        <v>29.0</v>
      </c>
      <c r="D267" s="8">
        <v>32.0</v>
      </c>
      <c r="E267" s="8">
        <v>33.0</v>
      </c>
      <c r="F267" s="8">
        <v>52.0</v>
      </c>
      <c r="G267" s="8">
        <v>53.0</v>
      </c>
      <c r="H267" s="9">
        <v>5.0</v>
      </c>
      <c r="I267" s="4">
        <v>43571.0</v>
      </c>
      <c r="J267" s="5" t="s">
        <v>529</v>
      </c>
      <c r="K267" s="11" t="s">
        <v>530</v>
      </c>
    </row>
    <row r="268">
      <c r="A268" s="7">
        <v>267.0</v>
      </c>
      <c r="B268" s="8">
        <v>7.0</v>
      </c>
      <c r="C268" s="8">
        <v>8.0</v>
      </c>
      <c r="D268" s="8">
        <v>15.0</v>
      </c>
      <c r="E268" s="8">
        <v>24.0</v>
      </c>
      <c r="F268" s="8">
        <v>26.0</v>
      </c>
      <c r="G268" s="8">
        <v>48.0</v>
      </c>
      <c r="H268" s="9">
        <v>10.0</v>
      </c>
      <c r="I268" s="4">
        <v>43573.0</v>
      </c>
      <c r="J268" s="5" t="s">
        <v>531</v>
      </c>
      <c r="K268" s="10" t="s">
        <v>532</v>
      </c>
    </row>
    <row r="269">
      <c r="A269" s="7">
        <v>268.0</v>
      </c>
      <c r="B269" s="8">
        <v>8.0</v>
      </c>
      <c r="C269" s="8">
        <v>10.0</v>
      </c>
      <c r="D269" s="8">
        <v>12.0</v>
      </c>
      <c r="E269" s="8">
        <v>24.0</v>
      </c>
      <c r="F269" s="8">
        <v>40.0</v>
      </c>
      <c r="G269" s="8">
        <v>44.0</v>
      </c>
      <c r="H269" s="9">
        <v>51.0</v>
      </c>
      <c r="I269" s="4">
        <v>43575.0</v>
      </c>
      <c r="J269" s="5" t="s">
        <v>533</v>
      </c>
      <c r="K269" s="13" t="s">
        <v>534</v>
      </c>
    </row>
    <row r="270">
      <c r="A270" s="7">
        <v>269.0</v>
      </c>
      <c r="B270" s="8">
        <v>20.0</v>
      </c>
      <c r="C270" s="8">
        <v>21.0</v>
      </c>
      <c r="D270" s="8">
        <v>22.0</v>
      </c>
      <c r="E270" s="8">
        <v>31.0</v>
      </c>
      <c r="F270" s="8">
        <v>43.0</v>
      </c>
      <c r="G270" s="8">
        <v>45.0</v>
      </c>
      <c r="H270" s="9">
        <v>30.0</v>
      </c>
      <c r="I270" s="4">
        <v>43578.0</v>
      </c>
      <c r="J270" s="5" t="s">
        <v>535</v>
      </c>
      <c r="K270" s="10" t="s">
        <v>536</v>
      </c>
    </row>
    <row r="271">
      <c r="A271" s="7">
        <v>270.0</v>
      </c>
      <c r="B271" s="8">
        <v>16.0</v>
      </c>
      <c r="C271" s="8">
        <v>22.0</v>
      </c>
      <c r="D271" s="8">
        <v>23.0</v>
      </c>
      <c r="E271" s="8">
        <v>33.0</v>
      </c>
      <c r="F271" s="8">
        <v>36.0</v>
      </c>
      <c r="G271" s="8">
        <v>38.0</v>
      </c>
      <c r="H271" s="9">
        <v>45.0</v>
      </c>
      <c r="I271" s="4">
        <v>43580.0</v>
      </c>
      <c r="J271" s="5" t="s">
        <v>537</v>
      </c>
      <c r="K271" s="11" t="s">
        <v>538</v>
      </c>
    </row>
    <row r="272">
      <c r="A272" s="7">
        <v>271.0</v>
      </c>
      <c r="B272" s="8">
        <v>1.0</v>
      </c>
      <c r="C272" s="8">
        <v>11.0</v>
      </c>
      <c r="D272" s="8">
        <v>22.0</v>
      </c>
      <c r="E272" s="8">
        <v>26.0</v>
      </c>
      <c r="F272" s="8">
        <v>33.0</v>
      </c>
      <c r="G272" s="8">
        <v>51.0</v>
      </c>
      <c r="H272" s="9">
        <v>4.0</v>
      </c>
      <c r="I272" s="4">
        <v>43582.0</v>
      </c>
      <c r="J272" s="5" t="s">
        <v>539</v>
      </c>
      <c r="K272" s="10" t="s">
        <v>540</v>
      </c>
    </row>
    <row r="273">
      <c r="A273" s="7">
        <v>272.0</v>
      </c>
      <c r="B273" s="8">
        <v>3.0</v>
      </c>
      <c r="C273" s="8">
        <v>5.0</v>
      </c>
      <c r="D273" s="8">
        <v>13.0</v>
      </c>
      <c r="E273" s="8">
        <v>40.0</v>
      </c>
      <c r="F273" s="8">
        <v>41.0</v>
      </c>
      <c r="G273" s="8">
        <v>45.0</v>
      </c>
      <c r="H273" s="9">
        <v>52.0</v>
      </c>
      <c r="I273" s="4">
        <v>43585.0</v>
      </c>
      <c r="J273" s="5" t="s">
        <v>541</v>
      </c>
      <c r="K273" s="11" t="s">
        <v>542</v>
      </c>
    </row>
    <row r="274">
      <c r="A274" s="7">
        <v>273.0</v>
      </c>
      <c r="B274" s="8">
        <v>2.0</v>
      </c>
      <c r="C274" s="8">
        <v>10.0</v>
      </c>
      <c r="D274" s="8">
        <v>16.0</v>
      </c>
      <c r="E274" s="8">
        <v>17.0</v>
      </c>
      <c r="F274" s="8">
        <v>33.0</v>
      </c>
      <c r="G274" s="8">
        <v>36.0</v>
      </c>
      <c r="H274" s="9">
        <v>20.0</v>
      </c>
      <c r="I274" s="4">
        <v>43587.0</v>
      </c>
      <c r="J274" s="5" t="s">
        <v>543</v>
      </c>
      <c r="K274" s="10" t="s">
        <v>544</v>
      </c>
    </row>
    <row r="275">
      <c r="A275" s="7">
        <v>274.0</v>
      </c>
      <c r="B275" s="8">
        <v>2.0</v>
      </c>
      <c r="C275" s="8">
        <v>3.0</v>
      </c>
      <c r="D275" s="8">
        <v>26.0</v>
      </c>
      <c r="E275" s="8">
        <v>53.0</v>
      </c>
      <c r="F275" s="8">
        <v>17.0</v>
      </c>
      <c r="G275" s="8">
        <v>1.0</v>
      </c>
      <c r="H275" s="9">
        <v>50.0</v>
      </c>
      <c r="I275" s="4">
        <v>43589.0</v>
      </c>
      <c r="J275" s="5" t="s">
        <v>545</v>
      </c>
      <c r="K275" s="13" t="s">
        <v>546</v>
      </c>
    </row>
    <row r="276">
      <c r="A276" s="7">
        <v>275.0</v>
      </c>
      <c r="B276" s="8">
        <v>3.0</v>
      </c>
      <c r="C276" s="8">
        <v>6.0</v>
      </c>
      <c r="D276" s="8">
        <v>7.0</v>
      </c>
      <c r="E276" s="8">
        <v>8.0</v>
      </c>
      <c r="F276" s="8">
        <v>9.0</v>
      </c>
      <c r="G276" s="8">
        <v>49.0</v>
      </c>
      <c r="H276" s="9">
        <v>24.0</v>
      </c>
      <c r="I276" s="4">
        <v>43592.0</v>
      </c>
      <c r="J276" s="5" t="s">
        <v>547</v>
      </c>
      <c r="K276" s="10" t="s">
        <v>548</v>
      </c>
    </row>
    <row r="277">
      <c r="A277" s="7">
        <v>276.0</v>
      </c>
      <c r="B277" s="8">
        <v>19.0</v>
      </c>
      <c r="C277" s="8">
        <v>21.0</v>
      </c>
      <c r="D277" s="8">
        <v>48.0</v>
      </c>
      <c r="E277" s="8">
        <v>49.0</v>
      </c>
      <c r="F277" s="8">
        <v>54.0</v>
      </c>
      <c r="G277" s="8">
        <v>55.0</v>
      </c>
      <c r="H277" s="9">
        <v>27.0</v>
      </c>
      <c r="I277" s="4">
        <v>43594.0</v>
      </c>
      <c r="J277" s="5" t="s">
        <v>549</v>
      </c>
      <c r="K277" s="11" t="s">
        <v>550</v>
      </c>
    </row>
    <row r="278">
      <c r="A278" s="7">
        <v>277.0</v>
      </c>
      <c r="B278" s="8">
        <v>6.0</v>
      </c>
      <c r="C278" s="8">
        <v>11.0</v>
      </c>
      <c r="D278" s="8">
        <v>20.0</v>
      </c>
      <c r="E278" s="8">
        <v>22.0</v>
      </c>
      <c r="F278" s="8">
        <v>26.0</v>
      </c>
      <c r="G278" s="8">
        <v>28.0</v>
      </c>
      <c r="H278" s="9">
        <v>36.0</v>
      </c>
      <c r="I278" s="4">
        <v>43596.0</v>
      </c>
      <c r="J278" s="5" t="s">
        <v>551</v>
      </c>
      <c r="K278" s="10" t="s">
        <v>552</v>
      </c>
    </row>
    <row r="279">
      <c r="A279" s="7">
        <v>278.0</v>
      </c>
      <c r="B279" s="8">
        <v>6.0</v>
      </c>
      <c r="C279" s="8">
        <v>11.0</v>
      </c>
      <c r="D279" s="8">
        <v>15.0</v>
      </c>
      <c r="E279" s="8">
        <v>21.0</v>
      </c>
      <c r="F279" s="8">
        <v>30.0</v>
      </c>
      <c r="G279" s="8">
        <v>40.0</v>
      </c>
      <c r="H279" s="9">
        <v>10.0</v>
      </c>
      <c r="I279" s="4">
        <v>43599.0</v>
      </c>
      <c r="J279" s="5" t="s">
        <v>553</v>
      </c>
      <c r="K279" s="11" t="s">
        <v>554</v>
      </c>
    </row>
    <row r="280">
      <c r="A280" s="7">
        <v>279.0</v>
      </c>
      <c r="B280" s="8">
        <v>8.0</v>
      </c>
      <c r="C280" s="8">
        <v>28.0</v>
      </c>
      <c r="D280" s="8">
        <v>30.0</v>
      </c>
      <c r="E280" s="8">
        <v>33.0</v>
      </c>
      <c r="F280" s="8">
        <v>40.0</v>
      </c>
      <c r="G280" s="8">
        <v>43.0</v>
      </c>
      <c r="H280" s="9">
        <v>24.0</v>
      </c>
      <c r="I280" s="4">
        <v>43601.0</v>
      </c>
      <c r="J280" s="5" t="s">
        <v>555</v>
      </c>
      <c r="K280" s="10" t="s">
        <v>556</v>
      </c>
    </row>
    <row r="281">
      <c r="A281" s="7">
        <v>280.0</v>
      </c>
      <c r="B281" s="8">
        <v>6.0</v>
      </c>
      <c r="C281" s="8">
        <v>10.0</v>
      </c>
      <c r="D281" s="8">
        <v>13.0</v>
      </c>
      <c r="E281" s="8">
        <v>18.0</v>
      </c>
      <c r="F281" s="8">
        <v>29.0</v>
      </c>
      <c r="G281" s="8">
        <v>38.0</v>
      </c>
      <c r="H281" s="9">
        <v>53.0</v>
      </c>
      <c r="I281" s="4">
        <v>43603.0</v>
      </c>
      <c r="J281" s="5" t="s">
        <v>557</v>
      </c>
      <c r="K281" s="11" t="s">
        <v>558</v>
      </c>
    </row>
    <row r="282">
      <c r="A282" s="7">
        <v>281.0</v>
      </c>
      <c r="B282" s="8">
        <v>11.0</v>
      </c>
      <c r="C282" s="8">
        <v>12.0</v>
      </c>
      <c r="D282" s="8">
        <v>29.0</v>
      </c>
      <c r="E282" s="8">
        <v>31.0</v>
      </c>
      <c r="F282" s="8">
        <v>37.0</v>
      </c>
      <c r="G282" s="8">
        <v>53.0</v>
      </c>
      <c r="H282" s="9">
        <v>41.0</v>
      </c>
      <c r="I282" s="4">
        <v>43606.0</v>
      </c>
      <c r="J282" s="5" t="s">
        <v>559</v>
      </c>
      <c r="K282" s="10" t="s">
        <v>560</v>
      </c>
    </row>
    <row r="283">
      <c r="A283" s="7">
        <v>282.0</v>
      </c>
      <c r="B283" s="8">
        <v>13.0</v>
      </c>
      <c r="C283" s="8">
        <v>21.0</v>
      </c>
      <c r="D283" s="8">
        <v>33.0</v>
      </c>
      <c r="E283" s="8">
        <v>42.0</v>
      </c>
      <c r="F283" s="8">
        <v>53.0</v>
      </c>
      <c r="G283" s="8">
        <v>55.0</v>
      </c>
      <c r="H283" s="9">
        <v>44.0</v>
      </c>
      <c r="I283" s="4">
        <v>43608.0</v>
      </c>
      <c r="J283" s="5" t="s">
        <v>561</v>
      </c>
      <c r="K283" s="11" t="s">
        <v>562</v>
      </c>
    </row>
    <row r="284">
      <c r="A284" s="7">
        <v>283.0</v>
      </c>
      <c r="B284" s="8">
        <v>4.0</v>
      </c>
      <c r="C284" s="8">
        <v>12.0</v>
      </c>
      <c r="D284" s="8">
        <v>35.0</v>
      </c>
      <c r="E284" s="8">
        <v>44.0</v>
      </c>
      <c r="F284" s="8">
        <v>50.0</v>
      </c>
      <c r="G284" s="8">
        <v>55.0</v>
      </c>
      <c r="H284" s="9">
        <v>19.0</v>
      </c>
      <c r="I284" s="4">
        <v>43610.0</v>
      </c>
      <c r="J284" s="5" t="s">
        <v>563</v>
      </c>
      <c r="K284" s="12" t="s">
        <v>564</v>
      </c>
    </row>
    <row r="285">
      <c r="A285" s="7">
        <v>284.0</v>
      </c>
      <c r="B285" s="8">
        <v>15.0</v>
      </c>
      <c r="C285" s="8">
        <v>22.0</v>
      </c>
      <c r="D285" s="8">
        <v>31.0</v>
      </c>
      <c r="E285" s="8">
        <v>32.0</v>
      </c>
      <c r="F285" s="8">
        <v>33.0</v>
      </c>
      <c r="G285" s="8">
        <v>37.0</v>
      </c>
      <c r="H285" s="9">
        <v>51.0</v>
      </c>
      <c r="I285" s="4">
        <v>43613.0</v>
      </c>
      <c r="J285" s="5" t="s">
        <v>565</v>
      </c>
      <c r="K285" s="11" t="s">
        <v>566</v>
      </c>
    </row>
    <row r="286">
      <c r="A286" s="7">
        <v>285.0</v>
      </c>
      <c r="B286" s="8">
        <v>17.0</v>
      </c>
      <c r="C286" s="8">
        <v>31.0</v>
      </c>
      <c r="D286" s="8">
        <v>33.0</v>
      </c>
      <c r="E286" s="8">
        <v>34.0</v>
      </c>
      <c r="F286" s="8">
        <v>37.0</v>
      </c>
      <c r="G286" s="8">
        <v>40.0</v>
      </c>
      <c r="H286" s="9">
        <v>35.0</v>
      </c>
      <c r="I286" s="4">
        <v>43615.0</v>
      </c>
      <c r="J286" s="5" t="s">
        <v>567</v>
      </c>
      <c r="K286" s="10" t="s">
        <v>568</v>
      </c>
    </row>
    <row r="287">
      <c r="A287" s="7">
        <v>286.0</v>
      </c>
      <c r="B287" s="8">
        <v>10.0</v>
      </c>
      <c r="C287" s="8">
        <v>24.0</v>
      </c>
      <c r="D287" s="8">
        <v>31.0</v>
      </c>
      <c r="E287" s="8">
        <v>41.0</v>
      </c>
      <c r="F287" s="8">
        <v>42.0</v>
      </c>
      <c r="G287" s="8">
        <v>47.0</v>
      </c>
      <c r="H287" s="9">
        <v>20.0</v>
      </c>
      <c r="I287" s="4">
        <v>43617.0</v>
      </c>
      <c r="J287" s="5" t="s">
        <v>569</v>
      </c>
      <c r="K287" s="11" t="s">
        <v>570</v>
      </c>
    </row>
    <row r="288">
      <c r="A288" s="7">
        <v>287.0</v>
      </c>
      <c r="B288" s="8">
        <v>18.0</v>
      </c>
      <c r="C288" s="8">
        <v>20.0</v>
      </c>
      <c r="D288" s="8">
        <v>24.0</v>
      </c>
      <c r="E288" s="8">
        <v>26.0</v>
      </c>
      <c r="F288" s="8">
        <v>33.0</v>
      </c>
      <c r="G288" s="8">
        <v>41.0</v>
      </c>
      <c r="H288" s="9">
        <v>55.0</v>
      </c>
      <c r="I288" s="4">
        <v>43620.0</v>
      </c>
      <c r="J288" s="5" t="s">
        <v>571</v>
      </c>
      <c r="K288" s="10" t="s">
        <v>572</v>
      </c>
    </row>
    <row r="289">
      <c r="A289" s="7">
        <v>288.0</v>
      </c>
      <c r="B289" s="8">
        <v>10.0</v>
      </c>
      <c r="C289" s="8">
        <v>13.0</v>
      </c>
      <c r="D289" s="8">
        <v>30.0</v>
      </c>
      <c r="E289" s="8">
        <v>36.0</v>
      </c>
      <c r="F289" s="8">
        <v>51.0</v>
      </c>
      <c r="G289" s="8">
        <v>54.0</v>
      </c>
      <c r="H289" s="9">
        <v>16.0</v>
      </c>
      <c r="I289" s="4">
        <v>43622.0</v>
      </c>
      <c r="J289" s="5" t="s">
        <v>573</v>
      </c>
      <c r="K289" s="11" t="s">
        <v>574</v>
      </c>
    </row>
    <row r="290">
      <c r="A290" s="7">
        <v>289.0</v>
      </c>
      <c r="B290" s="8">
        <v>2.0</v>
      </c>
      <c r="C290" s="8">
        <v>8.0</v>
      </c>
      <c r="D290" s="8">
        <v>10.0</v>
      </c>
      <c r="E290" s="8">
        <v>23.0</v>
      </c>
      <c r="F290" s="8">
        <v>27.0</v>
      </c>
      <c r="G290" s="8">
        <v>35.0</v>
      </c>
      <c r="H290" s="9">
        <v>47.0</v>
      </c>
      <c r="I290" s="4">
        <v>43624.0</v>
      </c>
      <c r="J290" s="5" t="s">
        <v>575</v>
      </c>
      <c r="K290" s="10" t="s">
        <v>576</v>
      </c>
    </row>
    <row r="291">
      <c r="A291" s="7">
        <v>290.0</v>
      </c>
      <c r="B291" s="8">
        <v>2.0</v>
      </c>
      <c r="C291" s="8">
        <v>5.0</v>
      </c>
      <c r="D291" s="8">
        <v>13.0</v>
      </c>
      <c r="E291" s="8">
        <v>20.0</v>
      </c>
      <c r="F291" s="8">
        <v>30.0</v>
      </c>
      <c r="G291" s="8">
        <v>49.0</v>
      </c>
      <c r="H291" s="9">
        <v>35.0</v>
      </c>
      <c r="I291" s="4">
        <v>43627.0</v>
      </c>
      <c r="J291" s="5" t="s">
        <v>577</v>
      </c>
      <c r="K291" s="13" t="s">
        <v>578</v>
      </c>
    </row>
    <row r="292">
      <c r="A292" s="7">
        <v>291.0</v>
      </c>
      <c r="B292" s="8">
        <v>6.0</v>
      </c>
      <c r="C292" s="8">
        <v>9.0</v>
      </c>
      <c r="D292" s="8">
        <v>15.0</v>
      </c>
      <c r="E292" s="8">
        <v>22.0</v>
      </c>
      <c r="F292" s="8">
        <v>29.0</v>
      </c>
      <c r="G292" s="8">
        <v>53.0</v>
      </c>
      <c r="H292" s="9">
        <v>25.0</v>
      </c>
      <c r="I292" s="4">
        <v>43629.0</v>
      </c>
      <c r="J292" s="5" t="s">
        <v>579</v>
      </c>
      <c r="K292" s="10" t="s">
        <v>580</v>
      </c>
    </row>
    <row r="293">
      <c r="A293" s="7">
        <v>292.0</v>
      </c>
      <c r="B293" s="8">
        <v>13.0</v>
      </c>
      <c r="C293" s="8">
        <v>23.0</v>
      </c>
      <c r="D293" s="8">
        <v>40.0</v>
      </c>
      <c r="E293" s="8">
        <v>45.0</v>
      </c>
      <c r="F293" s="8">
        <v>52.0</v>
      </c>
      <c r="G293" s="8">
        <v>55.0</v>
      </c>
      <c r="H293" s="9">
        <v>9.0</v>
      </c>
      <c r="I293" s="4">
        <v>43631.0</v>
      </c>
      <c r="J293" s="5" t="s">
        <v>581</v>
      </c>
      <c r="K293" s="11" t="s">
        <v>582</v>
      </c>
    </row>
    <row r="294">
      <c r="A294" s="7">
        <v>293.0</v>
      </c>
      <c r="B294" s="8">
        <v>24.0</v>
      </c>
      <c r="C294" s="8">
        <v>31.0</v>
      </c>
      <c r="D294" s="8">
        <v>45.0</v>
      </c>
      <c r="E294" s="8">
        <v>46.0</v>
      </c>
      <c r="F294" s="8">
        <v>47.0</v>
      </c>
      <c r="G294" s="8">
        <v>54.0</v>
      </c>
      <c r="H294" s="9">
        <v>4.0</v>
      </c>
      <c r="I294" s="4">
        <v>43634.0</v>
      </c>
      <c r="J294" s="5" t="s">
        <v>583</v>
      </c>
      <c r="K294" s="10" t="s">
        <v>584</v>
      </c>
    </row>
    <row r="295">
      <c r="A295" s="7">
        <v>294.0</v>
      </c>
      <c r="B295" s="8">
        <v>9.0</v>
      </c>
      <c r="C295" s="8">
        <v>15.0</v>
      </c>
      <c r="D295" s="8">
        <v>23.0</v>
      </c>
      <c r="E295" s="8">
        <v>41.0</v>
      </c>
      <c r="F295" s="8">
        <v>49.0</v>
      </c>
      <c r="G295" s="8">
        <v>51.0</v>
      </c>
      <c r="H295" s="9">
        <v>52.0</v>
      </c>
      <c r="I295" s="4">
        <v>43636.0</v>
      </c>
      <c r="J295" s="5" t="s">
        <v>585</v>
      </c>
      <c r="K295" s="11" t="s">
        <v>586</v>
      </c>
    </row>
    <row r="296">
      <c r="A296" s="7">
        <v>295.0</v>
      </c>
      <c r="B296" s="8">
        <v>1.0</v>
      </c>
      <c r="C296" s="8">
        <v>9.0</v>
      </c>
      <c r="D296" s="8">
        <v>23.0</v>
      </c>
      <c r="E296" s="8">
        <v>28.0</v>
      </c>
      <c r="F296" s="8">
        <v>42.0</v>
      </c>
      <c r="G296" s="8">
        <v>54.0</v>
      </c>
      <c r="H296" s="9">
        <v>49.0</v>
      </c>
      <c r="I296" s="4">
        <v>43638.0</v>
      </c>
      <c r="J296" s="5" t="s">
        <v>587</v>
      </c>
      <c r="K296" s="10" t="s">
        <v>588</v>
      </c>
    </row>
    <row r="297">
      <c r="A297" s="7">
        <v>296.0</v>
      </c>
      <c r="B297" s="8">
        <v>3.0</v>
      </c>
      <c r="C297" s="8">
        <v>14.0</v>
      </c>
      <c r="D297" s="8">
        <v>34.0</v>
      </c>
      <c r="E297" s="8">
        <v>35.0</v>
      </c>
      <c r="F297" s="8">
        <v>40.0</v>
      </c>
      <c r="G297" s="8">
        <v>49.0</v>
      </c>
      <c r="H297" s="9">
        <v>23.0</v>
      </c>
      <c r="I297" s="4">
        <v>43641.0</v>
      </c>
      <c r="J297" s="5" t="s">
        <v>589</v>
      </c>
      <c r="K297" s="11" t="s">
        <v>590</v>
      </c>
    </row>
    <row r="298">
      <c r="A298" s="7">
        <v>297.0</v>
      </c>
      <c r="B298" s="8">
        <v>9.0</v>
      </c>
      <c r="C298" s="8">
        <v>29.0</v>
      </c>
      <c r="D298" s="8">
        <v>32.0</v>
      </c>
      <c r="E298" s="8">
        <v>44.0</v>
      </c>
      <c r="F298" s="8">
        <v>49.0</v>
      </c>
      <c r="G298" s="8">
        <v>53.0</v>
      </c>
      <c r="H298" s="9">
        <v>5.0</v>
      </c>
      <c r="I298" s="4">
        <v>43643.0</v>
      </c>
      <c r="J298" s="5" t="s">
        <v>591</v>
      </c>
      <c r="K298" s="12" t="s">
        <v>592</v>
      </c>
    </row>
    <row r="299">
      <c r="A299" s="7">
        <v>298.0</v>
      </c>
      <c r="B299" s="8">
        <v>6.0</v>
      </c>
      <c r="C299" s="8">
        <v>10.0</v>
      </c>
      <c r="D299" s="8">
        <v>19.0</v>
      </c>
      <c r="E299" s="8">
        <v>31.0</v>
      </c>
      <c r="F299" s="8">
        <v>34.0</v>
      </c>
      <c r="G299" s="8">
        <v>43.0</v>
      </c>
      <c r="H299" s="9">
        <v>37.0</v>
      </c>
      <c r="I299" s="4">
        <v>43645.0</v>
      </c>
      <c r="J299" s="5" t="s">
        <v>593</v>
      </c>
      <c r="K299" s="11" t="s">
        <v>594</v>
      </c>
    </row>
    <row r="300">
      <c r="A300" s="7">
        <v>299.0</v>
      </c>
      <c r="B300" s="8">
        <v>2.0</v>
      </c>
      <c r="C300" s="8">
        <v>9.0</v>
      </c>
      <c r="D300" s="8">
        <v>33.0</v>
      </c>
      <c r="E300" s="8">
        <v>45.0</v>
      </c>
      <c r="F300" s="8">
        <v>52.0</v>
      </c>
      <c r="G300" s="8">
        <v>54.0</v>
      </c>
      <c r="H300" s="9">
        <v>1.0</v>
      </c>
      <c r="I300" s="4">
        <v>43648.0</v>
      </c>
      <c r="J300" s="5" t="s">
        <v>595</v>
      </c>
      <c r="K300" s="10" t="s">
        <v>596</v>
      </c>
    </row>
    <row r="301">
      <c r="A301" s="7">
        <v>300.0</v>
      </c>
      <c r="B301" s="8">
        <v>4.0</v>
      </c>
      <c r="C301" s="8">
        <v>5.0</v>
      </c>
      <c r="D301" s="8">
        <v>14.0</v>
      </c>
      <c r="E301" s="8">
        <v>46.0</v>
      </c>
      <c r="F301" s="8">
        <v>52.0</v>
      </c>
      <c r="G301" s="8">
        <v>54.0</v>
      </c>
      <c r="H301" s="9">
        <v>3.0</v>
      </c>
      <c r="I301" s="4">
        <v>43650.0</v>
      </c>
      <c r="J301" s="5" t="s">
        <v>597</v>
      </c>
      <c r="K301" s="11" t="s">
        <v>598</v>
      </c>
    </row>
    <row r="302">
      <c r="A302" s="7">
        <v>301.0</v>
      </c>
      <c r="B302" s="8">
        <v>5.0</v>
      </c>
      <c r="C302" s="8">
        <v>29.0</v>
      </c>
      <c r="D302" s="8">
        <v>36.0</v>
      </c>
      <c r="E302" s="8">
        <v>39.0</v>
      </c>
      <c r="F302" s="8">
        <v>46.0</v>
      </c>
      <c r="G302" s="8">
        <v>53.0</v>
      </c>
      <c r="H302" s="9">
        <v>48.0</v>
      </c>
      <c r="I302" s="4">
        <v>43652.0</v>
      </c>
      <c r="J302" s="5" t="s">
        <v>599</v>
      </c>
      <c r="K302" s="10" t="s">
        <v>600</v>
      </c>
    </row>
    <row r="303">
      <c r="A303" s="7">
        <v>302.0</v>
      </c>
      <c r="B303" s="8">
        <v>4.0</v>
      </c>
      <c r="C303" s="8">
        <v>17.0</v>
      </c>
      <c r="D303" s="8">
        <v>25.0</v>
      </c>
      <c r="E303" s="8">
        <v>40.0</v>
      </c>
      <c r="F303" s="8">
        <v>42.0</v>
      </c>
      <c r="G303" s="8">
        <v>51.0</v>
      </c>
      <c r="H303" s="9">
        <v>2.0</v>
      </c>
      <c r="I303" s="4">
        <v>43655.0</v>
      </c>
      <c r="J303" s="5" t="s">
        <v>601</v>
      </c>
      <c r="K303" s="11" t="s">
        <v>602</v>
      </c>
    </row>
    <row r="304">
      <c r="A304" s="7">
        <v>303.0</v>
      </c>
      <c r="B304" s="8">
        <v>6.0</v>
      </c>
      <c r="C304" s="8">
        <v>9.0</v>
      </c>
      <c r="D304" s="8">
        <v>15.0</v>
      </c>
      <c r="E304" s="8">
        <v>26.0</v>
      </c>
      <c r="F304" s="8">
        <v>35.0</v>
      </c>
      <c r="G304" s="8">
        <v>38.0</v>
      </c>
      <c r="H304" s="9">
        <v>34.0</v>
      </c>
      <c r="I304" s="4">
        <v>43657.0</v>
      </c>
      <c r="J304" s="5" t="s">
        <v>603</v>
      </c>
      <c r="K304" s="12" t="s">
        <v>604</v>
      </c>
    </row>
    <row r="305">
      <c r="A305" s="7">
        <v>304.0</v>
      </c>
      <c r="B305" s="8">
        <v>5.0</v>
      </c>
      <c r="C305" s="8">
        <v>23.0</v>
      </c>
      <c r="D305" s="8">
        <v>29.0</v>
      </c>
      <c r="E305" s="8">
        <v>45.0</v>
      </c>
      <c r="F305" s="8">
        <v>50.0</v>
      </c>
      <c r="G305" s="8">
        <v>52.0</v>
      </c>
      <c r="H305" s="9">
        <v>1.0</v>
      </c>
      <c r="I305" s="4">
        <v>43659.0</v>
      </c>
      <c r="J305" s="5" t="s">
        <v>605</v>
      </c>
      <c r="K305" s="11" t="s">
        <v>606</v>
      </c>
    </row>
    <row r="306">
      <c r="A306" s="7">
        <v>305.0</v>
      </c>
      <c r="B306" s="8">
        <v>4.0</v>
      </c>
      <c r="C306" s="8">
        <v>12.0</v>
      </c>
      <c r="D306" s="8">
        <v>19.0</v>
      </c>
      <c r="E306" s="8">
        <v>31.0</v>
      </c>
      <c r="F306" s="8">
        <v>33.0</v>
      </c>
      <c r="G306" s="8">
        <v>40.0</v>
      </c>
      <c r="H306" s="9">
        <v>51.0</v>
      </c>
      <c r="I306" s="4">
        <v>43662.0</v>
      </c>
      <c r="J306" s="5" t="s">
        <v>607</v>
      </c>
      <c r="K306" s="10" t="s">
        <v>608</v>
      </c>
    </row>
    <row r="307">
      <c r="A307" s="7">
        <v>306.0</v>
      </c>
      <c r="B307" s="8">
        <v>4.0</v>
      </c>
      <c r="C307" s="8">
        <v>24.0</v>
      </c>
      <c r="D307" s="8">
        <v>29.0</v>
      </c>
      <c r="E307" s="8">
        <v>31.0</v>
      </c>
      <c r="F307" s="8">
        <v>39.0</v>
      </c>
      <c r="G307" s="8">
        <v>41.0</v>
      </c>
      <c r="H307" s="9">
        <v>38.0</v>
      </c>
      <c r="I307" s="4">
        <v>43664.0</v>
      </c>
      <c r="J307" s="5" t="s">
        <v>609</v>
      </c>
      <c r="K307" s="11" t="s">
        <v>610</v>
      </c>
    </row>
    <row r="308">
      <c r="A308" s="7">
        <v>307.0</v>
      </c>
      <c r="B308" s="8">
        <v>15.0</v>
      </c>
      <c r="C308" s="8">
        <v>18.0</v>
      </c>
      <c r="D308" s="8">
        <v>25.0</v>
      </c>
      <c r="E308" s="8">
        <v>32.0</v>
      </c>
      <c r="F308" s="8">
        <v>42.0</v>
      </c>
      <c r="G308" s="8">
        <v>52.0</v>
      </c>
      <c r="H308" s="9">
        <v>10.0</v>
      </c>
      <c r="I308" s="4">
        <v>43666.0</v>
      </c>
      <c r="J308" s="5" t="s">
        <v>611</v>
      </c>
      <c r="K308" s="12" t="s">
        <v>612</v>
      </c>
    </row>
    <row r="309">
      <c r="A309" s="7">
        <v>308.0</v>
      </c>
      <c r="B309" s="8">
        <v>5.0</v>
      </c>
      <c r="C309" s="8">
        <v>10.0</v>
      </c>
      <c r="D309" s="8">
        <v>21.0</v>
      </c>
      <c r="E309" s="8">
        <v>32.0</v>
      </c>
      <c r="F309" s="8">
        <v>39.0</v>
      </c>
      <c r="G309" s="8">
        <v>52.0</v>
      </c>
      <c r="H309" s="9">
        <v>41.0</v>
      </c>
      <c r="I309" s="4">
        <v>43669.0</v>
      </c>
      <c r="J309" s="5" t="s">
        <v>613</v>
      </c>
      <c r="K309" s="11" t="s">
        <v>614</v>
      </c>
    </row>
    <row r="310">
      <c r="A310" s="7">
        <v>309.0</v>
      </c>
      <c r="B310" s="8">
        <v>3.0</v>
      </c>
      <c r="C310" s="8">
        <v>31.0</v>
      </c>
      <c r="D310" s="8">
        <v>34.0</v>
      </c>
      <c r="E310" s="8">
        <v>41.0</v>
      </c>
      <c r="F310" s="8">
        <v>52.0</v>
      </c>
      <c r="G310" s="8">
        <v>53.0</v>
      </c>
      <c r="H310" s="9">
        <v>16.0</v>
      </c>
      <c r="I310" s="4">
        <v>43671.0</v>
      </c>
      <c r="J310" s="5" t="s">
        <v>615</v>
      </c>
      <c r="K310" s="10" t="s">
        <v>616</v>
      </c>
    </row>
    <row r="311">
      <c r="A311" s="7">
        <v>310.0</v>
      </c>
      <c r="B311" s="8">
        <v>2.0</v>
      </c>
      <c r="C311" s="8">
        <v>3.0</v>
      </c>
      <c r="D311" s="8">
        <v>25.0</v>
      </c>
      <c r="E311" s="8">
        <v>33.0</v>
      </c>
      <c r="F311" s="8">
        <v>44.0</v>
      </c>
      <c r="G311" s="8">
        <v>50.0</v>
      </c>
      <c r="H311" s="9">
        <v>17.0</v>
      </c>
      <c r="I311" s="4">
        <v>43673.0</v>
      </c>
      <c r="J311" s="5" t="s">
        <v>617</v>
      </c>
      <c r="K311" s="11" t="s">
        <v>618</v>
      </c>
    </row>
    <row r="312">
      <c r="A312" s="7">
        <v>311.0</v>
      </c>
      <c r="B312" s="8">
        <v>3.0</v>
      </c>
      <c r="C312" s="8">
        <v>8.0</v>
      </c>
      <c r="D312" s="8">
        <v>12.0</v>
      </c>
      <c r="E312" s="8">
        <v>21.0</v>
      </c>
      <c r="F312" s="8">
        <v>32.0</v>
      </c>
      <c r="G312" s="8">
        <v>51.0</v>
      </c>
      <c r="H312" s="9">
        <v>7.0</v>
      </c>
      <c r="I312" s="4">
        <v>43676.0</v>
      </c>
      <c r="J312" s="5" t="s">
        <v>619</v>
      </c>
      <c r="K312" s="10" t="s">
        <v>620</v>
      </c>
    </row>
    <row r="313">
      <c r="A313" s="7">
        <v>312.0</v>
      </c>
      <c r="B313" s="8">
        <v>1.0</v>
      </c>
      <c r="C313" s="8">
        <v>18.0</v>
      </c>
      <c r="D313" s="8">
        <v>39.0</v>
      </c>
      <c r="E313" s="8">
        <v>45.0</v>
      </c>
      <c r="F313" s="8">
        <v>48.0</v>
      </c>
      <c r="G313" s="8">
        <v>49.0</v>
      </c>
      <c r="H313" s="9">
        <v>26.0</v>
      </c>
      <c r="I313" s="4">
        <v>43678.0</v>
      </c>
      <c r="J313" s="5" t="s">
        <v>621</v>
      </c>
      <c r="K313" s="11" t="s">
        <v>622</v>
      </c>
    </row>
    <row r="314">
      <c r="A314" s="7">
        <v>313.0</v>
      </c>
      <c r="B314" s="8">
        <v>13.0</v>
      </c>
      <c r="C314" s="8">
        <v>24.0</v>
      </c>
      <c r="D314" s="8">
        <v>25.0</v>
      </c>
      <c r="E314" s="8">
        <v>26.0</v>
      </c>
      <c r="F314" s="8">
        <v>27.0</v>
      </c>
      <c r="G314" s="8">
        <v>30.0</v>
      </c>
      <c r="H314" s="9">
        <v>4.0</v>
      </c>
      <c r="I314" s="4">
        <v>43680.0</v>
      </c>
      <c r="J314" s="5" t="s">
        <v>623</v>
      </c>
      <c r="K314" s="10" t="s">
        <v>624</v>
      </c>
    </row>
    <row r="315">
      <c r="A315" s="7">
        <v>314.0</v>
      </c>
      <c r="B315" s="8">
        <v>9.0</v>
      </c>
      <c r="C315" s="8">
        <v>11.0</v>
      </c>
      <c r="D315" s="8">
        <v>19.0</v>
      </c>
      <c r="E315" s="8">
        <v>20.0</v>
      </c>
      <c r="F315" s="8">
        <v>26.0</v>
      </c>
      <c r="G315" s="8">
        <v>42.0</v>
      </c>
      <c r="H315" s="9">
        <v>17.0</v>
      </c>
      <c r="I315" s="4">
        <v>43683.0</v>
      </c>
      <c r="J315" s="5" t="s">
        <v>625</v>
      </c>
      <c r="K315" s="13" t="s">
        <v>626</v>
      </c>
    </row>
    <row r="316">
      <c r="A316" s="7">
        <v>315.0</v>
      </c>
      <c r="B316" s="8">
        <v>1.0</v>
      </c>
      <c r="C316" s="8">
        <v>6.0</v>
      </c>
      <c r="D316" s="8">
        <v>17.0</v>
      </c>
      <c r="E316" s="8">
        <v>18.0</v>
      </c>
      <c r="F316" s="8">
        <v>21.0</v>
      </c>
      <c r="G316" s="8">
        <v>41.0</v>
      </c>
      <c r="H316" s="9">
        <v>22.0</v>
      </c>
      <c r="I316" s="4">
        <v>43685.0</v>
      </c>
      <c r="J316" s="5" t="s">
        <v>627</v>
      </c>
      <c r="K316" s="10" t="s">
        <v>628</v>
      </c>
    </row>
    <row r="317">
      <c r="A317" s="7">
        <v>316.0</v>
      </c>
      <c r="B317" s="8">
        <v>7.0</v>
      </c>
      <c r="C317" s="8">
        <v>17.0</v>
      </c>
      <c r="D317" s="8">
        <v>36.0</v>
      </c>
      <c r="E317" s="8">
        <v>42.0</v>
      </c>
      <c r="F317" s="8">
        <v>43.0</v>
      </c>
      <c r="G317" s="8">
        <v>50.0</v>
      </c>
      <c r="H317" s="9">
        <v>44.0</v>
      </c>
      <c r="I317" s="4">
        <v>43687.0</v>
      </c>
      <c r="J317" s="5" t="s">
        <v>629</v>
      </c>
      <c r="K317" s="11" t="s">
        <v>630</v>
      </c>
    </row>
    <row r="318">
      <c r="A318" s="7">
        <v>317.0</v>
      </c>
      <c r="B318" s="8">
        <v>4.0</v>
      </c>
      <c r="C318" s="8">
        <v>8.0</v>
      </c>
      <c r="D318" s="8">
        <v>16.0</v>
      </c>
      <c r="E318" s="8">
        <v>27.0</v>
      </c>
      <c r="F318" s="8">
        <v>32.0</v>
      </c>
      <c r="G318" s="8">
        <v>40.0</v>
      </c>
      <c r="H318" s="9">
        <v>23.0</v>
      </c>
      <c r="I318" s="4">
        <v>43690.0</v>
      </c>
      <c r="J318" s="5" t="s">
        <v>631</v>
      </c>
      <c r="K318" s="10" t="s">
        <v>632</v>
      </c>
    </row>
    <row r="319">
      <c r="A319" s="7">
        <v>318.0</v>
      </c>
      <c r="B319" s="8">
        <v>19.0</v>
      </c>
      <c r="C319" s="8">
        <v>25.0</v>
      </c>
      <c r="D319" s="8">
        <v>31.0</v>
      </c>
      <c r="E319" s="8">
        <v>32.0</v>
      </c>
      <c r="F319" s="8">
        <v>39.0</v>
      </c>
      <c r="G319" s="8">
        <v>47.0</v>
      </c>
      <c r="H319" s="9">
        <v>8.0</v>
      </c>
      <c r="I319" s="4">
        <v>43692.0</v>
      </c>
      <c r="J319" s="5" t="s">
        <v>633</v>
      </c>
      <c r="K319" s="11" t="s">
        <v>634</v>
      </c>
    </row>
    <row r="320">
      <c r="A320" s="7">
        <v>319.0</v>
      </c>
      <c r="B320" s="8">
        <v>9.0</v>
      </c>
      <c r="C320" s="8">
        <v>11.0</v>
      </c>
      <c r="D320" s="8">
        <v>24.0</v>
      </c>
      <c r="E320" s="8">
        <v>26.0</v>
      </c>
      <c r="F320" s="8">
        <v>38.0</v>
      </c>
      <c r="G320" s="8">
        <v>53.0</v>
      </c>
      <c r="H320" s="9">
        <v>41.0</v>
      </c>
      <c r="I320" s="4">
        <v>43694.0</v>
      </c>
      <c r="J320" s="5" t="s">
        <v>635</v>
      </c>
      <c r="K320" s="10" t="s">
        <v>636</v>
      </c>
    </row>
    <row r="321">
      <c r="A321" s="7">
        <v>320.0</v>
      </c>
      <c r="B321" s="8">
        <v>10.0</v>
      </c>
      <c r="C321" s="8">
        <v>30.0</v>
      </c>
      <c r="D321" s="8">
        <v>38.0</v>
      </c>
      <c r="E321" s="8">
        <v>48.0</v>
      </c>
      <c r="F321" s="8">
        <v>54.0</v>
      </c>
      <c r="G321" s="8">
        <v>55.0</v>
      </c>
      <c r="H321" s="9">
        <v>46.0</v>
      </c>
      <c r="I321" s="4">
        <v>43697.0</v>
      </c>
      <c r="J321" s="5" t="s">
        <v>637</v>
      </c>
      <c r="K321" s="11" t="s">
        <v>638</v>
      </c>
    </row>
    <row r="322">
      <c r="A322" s="7">
        <v>321.0</v>
      </c>
      <c r="B322" s="8">
        <v>4.0</v>
      </c>
      <c r="C322" s="8">
        <v>7.0</v>
      </c>
      <c r="D322" s="8">
        <v>16.0</v>
      </c>
      <c r="E322" s="8">
        <v>17.0</v>
      </c>
      <c r="F322" s="8">
        <v>30.0</v>
      </c>
      <c r="G322" s="8">
        <v>39.0</v>
      </c>
      <c r="H322" s="9">
        <v>27.0</v>
      </c>
      <c r="I322" s="4">
        <v>43699.0</v>
      </c>
      <c r="J322" s="5" t="s">
        <v>639</v>
      </c>
      <c r="K322" s="12" t="s">
        <v>640</v>
      </c>
    </row>
    <row r="323">
      <c r="A323" s="7">
        <v>322.0</v>
      </c>
      <c r="B323" s="8">
        <v>19.0</v>
      </c>
      <c r="C323" s="8">
        <v>20.0</v>
      </c>
      <c r="D323" s="8">
        <v>34.0</v>
      </c>
      <c r="E323" s="8">
        <v>40.0</v>
      </c>
      <c r="F323" s="8">
        <v>49.0</v>
      </c>
      <c r="G323" s="8">
        <v>51.0</v>
      </c>
      <c r="H323" s="9">
        <v>1.0</v>
      </c>
      <c r="I323" s="4">
        <v>43701.0</v>
      </c>
      <c r="J323" s="5" t="s">
        <v>641</v>
      </c>
      <c r="K323" s="11" t="s">
        <v>642</v>
      </c>
    </row>
    <row r="324">
      <c r="A324" s="7">
        <v>323.0</v>
      </c>
      <c r="B324" s="8">
        <v>16.0</v>
      </c>
      <c r="C324" s="8">
        <v>22.0</v>
      </c>
      <c r="D324" s="8">
        <v>29.0</v>
      </c>
      <c r="E324" s="8">
        <v>33.0</v>
      </c>
      <c r="F324" s="8">
        <v>46.0</v>
      </c>
      <c r="G324" s="8">
        <v>47.0</v>
      </c>
      <c r="H324" s="9">
        <v>55.0</v>
      </c>
      <c r="I324" s="4">
        <v>43704.0</v>
      </c>
      <c r="J324" s="5" t="s">
        <v>643</v>
      </c>
      <c r="K324" s="10" t="s">
        <v>644</v>
      </c>
    </row>
    <row r="325">
      <c r="A325" s="7">
        <v>324.0</v>
      </c>
      <c r="B325" s="8">
        <v>10.0</v>
      </c>
      <c r="C325" s="8">
        <v>11.0</v>
      </c>
      <c r="D325" s="8">
        <v>12.0</v>
      </c>
      <c r="E325" s="8">
        <v>23.0</v>
      </c>
      <c r="F325" s="8">
        <v>27.0</v>
      </c>
      <c r="G325" s="8">
        <v>48.0</v>
      </c>
      <c r="H325" s="9">
        <v>9.0</v>
      </c>
      <c r="I325" s="4">
        <v>43706.0</v>
      </c>
      <c r="J325" s="5" t="s">
        <v>645</v>
      </c>
      <c r="K325" s="11" t="s">
        <v>646</v>
      </c>
    </row>
    <row r="326">
      <c r="A326" s="7">
        <v>325.0</v>
      </c>
      <c r="B326" s="8">
        <v>13.0</v>
      </c>
      <c r="C326" s="8">
        <v>20.0</v>
      </c>
      <c r="D326" s="8">
        <v>23.0</v>
      </c>
      <c r="E326" s="8">
        <v>32.0</v>
      </c>
      <c r="F326" s="8">
        <v>51.0</v>
      </c>
      <c r="G326" s="8">
        <v>52.0</v>
      </c>
      <c r="H326" s="9">
        <v>42.0</v>
      </c>
      <c r="I326" s="4">
        <v>43708.0</v>
      </c>
      <c r="J326" s="5" t="s">
        <v>647</v>
      </c>
      <c r="K326" s="10" t="s">
        <v>648</v>
      </c>
    </row>
    <row r="327">
      <c r="A327" s="7">
        <v>326.0</v>
      </c>
      <c r="B327" s="8">
        <v>13.0</v>
      </c>
      <c r="C327" s="8">
        <v>14.0</v>
      </c>
      <c r="D327" s="8">
        <v>29.0</v>
      </c>
      <c r="E327" s="8">
        <v>35.0</v>
      </c>
      <c r="F327" s="8">
        <v>41.0</v>
      </c>
      <c r="G327" s="8">
        <v>55.0</v>
      </c>
      <c r="H327" s="9">
        <v>25.0</v>
      </c>
      <c r="I327" s="4">
        <v>43711.0</v>
      </c>
      <c r="J327" s="5" t="s">
        <v>649</v>
      </c>
      <c r="K327" s="11" t="s">
        <v>650</v>
      </c>
    </row>
    <row r="328">
      <c r="A328" s="7">
        <v>327.0</v>
      </c>
      <c r="B328" s="8">
        <v>20.0</v>
      </c>
      <c r="C328" s="8">
        <v>24.0</v>
      </c>
      <c r="D328" s="8">
        <v>27.0</v>
      </c>
      <c r="E328" s="8">
        <v>30.0</v>
      </c>
      <c r="F328" s="8">
        <v>33.0</v>
      </c>
      <c r="G328" s="8">
        <v>45.0</v>
      </c>
      <c r="H328" s="9">
        <v>21.0</v>
      </c>
      <c r="I328" s="4">
        <v>43713.0</v>
      </c>
      <c r="J328" s="5" t="s">
        <v>651</v>
      </c>
      <c r="K328" s="10" t="s">
        <v>652</v>
      </c>
    </row>
    <row r="329">
      <c r="A329" s="7">
        <v>328.0</v>
      </c>
      <c r="B329" s="8">
        <v>7.0</v>
      </c>
      <c r="C329" s="8">
        <v>17.0</v>
      </c>
      <c r="D329" s="8">
        <v>31.0</v>
      </c>
      <c r="E329" s="8">
        <v>35.0</v>
      </c>
      <c r="F329" s="8">
        <v>38.0</v>
      </c>
      <c r="G329" s="8">
        <v>46.0</v>
      </c>
      <c r="H329" s="9">
        <v>16.0</v>
      </c>
      <c r="I329" s="4">
        <v>43715.0</v>
      </c>
      <c r="J329" s="5" t="s">
        <v>653</v>
      </c>
      <c r="K329" s="11" t="s">
        <v>654</v>
      </c>
    </row>
    <row r="330">
      <c r="A330" s="7">
        <v>329.0</v>
      </c>
      <c r="B330" s="8">
        <v>6.0</v>
      </c>
      <c r="C330" s="8">
        <v>9.0</v>
      </c>
      <c r="D330" s="8">
        <v>19.0</v>
      </c>
      <c r="E330" s="8">
        <v>39.0</v>
      </c>
      <c r="F330" s="8">
        <v>50.0</v>
      </c>
      <c r="G330" s="8">
        <v>54.0</v>
      </c>
      <c r="H330" s="9">
        <v>37.0</v>
      </c>
      <c r="I330" s="4">
        <v>43718.0</v>
      </c>
      <c r="J330" s="5" t="s">
        <v>655</v>
      </c>
      <c r="K330" s="12" t="s">
        <v>656</v>
      </c>
    </row>
    <row r="331">
      <c r="A331" s="7">
        <v>330.0</v>
      </c>
      <c r="B331" s="8">
        <v>18.0</v>
      </c>
      <c r="C331" s="8">
        <v>29.0</v>
      </c>
      <c r="D331" s="8">
        <v>32.0</v>
      </c>
      <c r="E331" s="8">
        <v>33.0</v>
      </c>
      <c r="F331" s="8">
        <v>45.0</v>
      </c>
      <c r="G331" s="8">
        <v>49.0</v>
      </c>
      <c r="H331" s="9">
        <v>40.0</v>
      </c>
      <c r="I331" s="4">
        <v>43720.0</v>
      </c>
      <c r="J331" s="5" t="s">
        <v>657</v>
      </c>
      <c r="K331" s="13" t="s">
        <v>658</v>
      </c>
    </row>
    <row r="332">
      <c r="A332" s="7">
        <v>331.0</v>
      </c>
      <c r="B332" s="8">
        <v>10.0</v>
      </c>
      <c r="C332" s="8">
        <v>36.0</v>
      </c>
      <c r="D332" s="8">
        <v>42.0</v>
      </c>
      <c r="E332" s="8">
        <v>44.0</v>
      </c>
      <c r="F332" s="8">
        <v>45.0</v>
      </c>
      <c r="G332" s="8">
        <v>54.0</v>
      </c>
      <c r="H332" s="9">
        <v>14.0</v>
      </c>
      <c r="I332" s="4">
        <v>43722.0</v>
      </c>
      <c r="J332" s="5" t="s">
        <v>659</v>
      </c>
      <c r="K332" s="10" t="s">
        <v>660</v>
      </c>
    </row>
    <row r="333">
      <c r="A333" s="7">
        <v>332.0</v>
      </c>
      <c r="B333" s="8">
        <v>3.0</v>
      </c>
      <c r="C333" s="8">
        <v>14.0</v>
      </c>
      <c r="D333" s="8">
        <v>26.0</v>
      </c>
      <c r="E333" s="8">
        <v>38.0</v>
      </c>
      <c r="F333" s="8">
        <v>43.0</v>
      </c>
      <c r="G333" s="8">
        <v>47.0</v>
      </c>
      <c r="H333" s="9">
        <v>10.0</v>
      </c>
      <c r="I333" s="4">
        <v>43725.0</v>
      </c>
      <c r="J333" s="5" t="s">
        <v>661</v>
      </c>
      <c r="K333" s="11" t="s">
        <v>662</v>
      </c>
    </row>
    <row r="334">
      <c r="A334" s="7">
        <v>333.0</v>
      </c>
      <c r="B334" s="8">
        <v>2.0</v>
      </c>
      <c r="C334" s="8">
        <v>8.0</v>
      </c>
      <c r="D334" s="8">
        <v>22.0</v>
      </c>
      <c r="E334" s="8">
        <v>34.0</v>
      </c>
      <c r="F334" s="8">
        <v>39.0</v>
      </c>
      <c r="G334" s="8">
        <v>41.0</v>
      </c>
      <c r="H334" s="9">
        <v>13.0</v>
      </c>
      <c r="I334" s="4">
        <v>43727.0</v>
      </c>
      <c r="J334" s="5" t="s">
        <v>663</v>
      </c>
      <c r="K334" s="10" t="s">
        <v>664</v>
      </c>
    </row>
    <row r="335">
      <c r="A335" s="7">
        <v>334.0</v>
      </c>
      <c r="B335" s="8">
        <v>2.0</v>
      </c>
      <c r="C335" s="8">
        <v>5.0</v>
      </c>
      <c r="D335" s="8">
        <v>23.0</v>
      </c>
      <c r="E335" s="8">
        <v>30.0</v>
      </c>
      <c r="F335" s="8">
        <v>42.0</v>
      </c>
      <c r="G335" s="8">
        <v>45.0</v>
      </c>
      <c r="H335" s="9">
        <v>34.0</v>
      </c>
      <c r="I335" s="4">
        <v>43729.0</v>
      </c>
      <c r="J335" s="5" t="s">
        <v>665</v>
      </c>
      <c r="K335" s="11" t="s">
        <v>666</v>
      </c>
    </row>
    <row r="336">
      <c r="A336" s="7">
        <v>335.0</v>
      </c>
      <c r="B336" s="8">
        <v>12.0</v>
      </c>
      <c r="C336" s="8">
        <v>33.0</v>
      </c>
      <c r="D336" s="8">
        <v>39.0</v>
      </c>
      <c r="E336" s="8">
        <v>40.0</v>
      </c>
      <c r="F336" s="8">
        <v>48.0</v>
      </c>
      <c r="G336" s="8">
        <v>53.0</v>
      </c>
      <c r="H336" s="9">
        <v>35.0</v>
      </c>
      <c r="I336" s="4">
        <v>43732.0</v>
      </c>
      <c r="J336" s="5" t="s">
        <v>667</v>
      </c>
      <c r="K336" s="10" t="s">
        <v>668</v>
      </c>
    </row>
    <row r="337">
      <c r="A337" s="7">
        <v>336.0</v>
      </c>
      <c r="B337" s="8">
        <v>7.0</v>
      </c>
      <c r="C337" s="8">
        <v>12.0</v>
      </c>
      <c r="D337" s="8">
        <v>38.0</v>
      </c>
      <c r="E337" s="8">
        <v>43.0</v>
      </c>
      <c r="F337" s="8">
        <v>51.0</v>
      </c>
      <c r="G337" s="8">
        <v>55.0</v>
      </c>
      <c r="H337" s="9">
        <v>15.0</v>
      </c>
      <c r="I337" s="4">
        <v>43734.0</v>
      </c>
      <c r="J337" s="5" t="s">
        <v>669</v>
      </c>
      <c r="K337" s="11" t="s">
        <v>670</v>
      </c>
    </row>
    <row r="338">
      <c r="A338" s="7">
        <v>337.0</v>
      </c>
      <c r="B338" s="8">
        <v>4.0</v>
      </c>
      <c r="C338" s="8">
        <v>8.0</v>
      </c>
      <c r="D338" s="8">
        <v>21.0</v>
      </c>
      <c r="E338" s="8">
        <v>23.0</v>
      </c>
      <c r="F338" s="8">
        <v>40.0</v>
      </c>
      <c r="G338" s="8">
        <v>43.0</v>
      </c>
      <c r="H338" s="9">
        <v>44.0</v>
      </c>
      <c r="I338" s="4">
        <v>43736.0</v>
      </c>
      <c r="J338" s="5" t="s">
        <v>671</v>
      </c>
      <c r="K338" s="10" t="s">
        <v>672</v>
      </c>
    </row>
    <row r="339">
      <c r="A339" s="7">
        <v>338.0</v>
      </c>
      <c r="B339" s="8">
        <v>5.0</v>
      </c>
      <c r="C339" s="8">
        <v>22.0</v>
      </c>
      <c r="D339" s="8">
        <v>38.0</v>
      </c>
      <c r="E339" s="8">
        <v>41.0</v>
      </c>
      <c r="F339" s="8">
        <v>47.0</v>
      </c>
      <c r="G339" s="8">
        <v>49.0</v>
      </c>
      <c r="H339" s="9">
        <v>29.0</v>
      </c>
      <c r="I339" s="4">
        <v>43739.0</v>
      </c>
      <c r="J339" s="5" t="s">
        <v>673</v>
      </c>
      <c r="K339" s="13" t="s">
        <v>674</v>
      </c>
    </row>
    <row r="340">
      <c r="A340" s="7">
        <v>339.0</v>
      </c>
      <c r="B340" s="8">
        <v>4.0</v>
      </c>
      <c r="C340" s="8">
        <v>7.0</v>
      </c>
      <c r="D340" s="8">
        <v>8.0</v>
      </c>
      <c r="E340" s="8">
        <v>26.0</v>
      </c>
      <c r="F340" s="8">
        <v>37.0</v>
      </c>
      <c r="G340" s="8">
        <v>44.0</v>
      </c>
      <c r="H340" s="9">
        <v>29.0</v>
      </c>
      <c r="I340" s="4">
        <v>43741.0</v>
      </c>
      <c r="J340" s="5" t="s">
        <v>675</v>
      </c>
      <c r="K340" s="10" t="s">
        <v>676</v>
      </c>
    </row>
    <row r="341">
      <c r="A341" s="7">
        <v>340.0</v>
      </c>
      <c r="B341" s="8">
        <v>10.0</v>
      </c>
      <c r="C341" s="8">
        <v>29.0</v>
      </c>
      <c r="D341" s="8">
        <v>30.0</v>
      </c>
      <c r="E341" s="8">
        <v>31.0</v>
      </c>
      <c r="F341" s="8">
        <v>37.0</v>
      </c>
      <c r="G341" s="8">
        <v>51.0</v>
      </c>
      <c r="H341" s="9">
        <v>50.0</v>
      </c>
      <c r="I341" s="4">
        <v>43743.0</v>
      </c>
      <c r="J341" s="5" t="s">
        <v>677</v>
      </c>
      <c r="K341" s="13" t="s">
        <v>678</v>
      </c>
    </row>
    <row r="342">
      <c r="A342" s="7">
        <v>341.0</v>
      </c>
      <c r="B342" s="8">
        <v>8.0</v>
      </c>
      <c r="C342" s="8">
        <v>36.0</v>
      </c>
      <c r="D342" s="8">
        <v>39.0</v>
      </c>
      <c r="E342" s="8">
        <v>43.0</v>
      </c>
      <c r="F342" s="8">
        <v>48.0</v>
      </c>
      <c r="G342" s="8">
        <v>50.0</v>
      </c>
      <c r="H342" s="9">
        <v>40.0</v>
      </c>
      <c r="I342" s="4">
        <v>43746.0</v>
      </c>
      <c r="J342" s="5" t="s">
        <v>679</v>
      </c>
      <c r="K342" s="10" t="s">
        <v>680</v>
      </c>
    </row>
    <row r="343">
      <c r="A343" s="7">
        <v>342.0</v>
      </c>
      <c r="B343" s="8">
        <v>4.0</v>
      </c>
      <c r="C343" s="8">
        <v>17.0</v>
      </c>
      <c r="D343" s="8">
        <v>42.0</v>
      </c>
      <c r="E343" s="8">
        <v>51.0</v>
      </c>
      <c r="F343" s="8">
        <v>53.0</v>
      </c>
      <c r="G343" s="8">
        <v>55.0</v>
      </c>
      <c r="H343" s="9">
        <v>29.0</v>
      </c>
      <c r="I343" s="4">
        <v>43748.0</v>
      </c>
      <c r="J343" s="5" t="s">
        <v>681</v>
      </c>
      <c r="K343" s="11" t="s">
        <v>682</v>
      </c>
    </row>
    <row r="344">
      <c r="A344" s="7">
        <v>343.0</v>
      </c>
      <c r="B344" s="8">
        <v>21.0</v>
      </c>
      <c r="C344" s="8">
        <v>39.0</v>
      </c>
      <c r="D344" s="8">
        <v>48.0</v>
      </c>
      <c r="E344" s="8">
        <v>51.0</v>
      </c>
      <c r="F344" s="8">
        <v>53.0</v>
      </c>
      <c r="G344" s="8">
        <v>55.0</v>
      </c>
      <c r="H344" s="9">
        <v>5.0</v>
      </c>
      <c r="I344" s="4">
        <v>43750.0</v>
      </c>
      <c r="J344" s="5" t="s">
        <v>683</v>
      </c>
      <c r="K344" s="10" t="s">
        <v>684</v>
      </c>
    </row>
    <row r="345">
      <c r="A345" s="7">
        <v>344.0</v>
      </c>
      <c r="B345" s="8">
        <v>9.0</v>
      </c>
      <c r="C345" s="8">
        <v>12.0</v>
      </c>
      <c r="D345" s="8">
        <v>29.0</v>
      </c>
      <c r="E345" s="8">
        <v>46.0</v>
      </c>
      <c r="F345" s="8">
        <v>48.0</v>
      </c>
      <c r="G345" s="8">
        <v>53.0</v>
      </c>
      <c r="H345" s="9">
        <v>3.0</v>
      </c>
      <c r="I345" s="4">
        <v>43753.0</v>
      </c>
      <c r="J345" s="5" t="s">
        <v>685</v>
      </c>
      <c r="K345" s="11" t="s">
        <v>686</v>
      </c>
    </row>
    <row r="346">
      <c r="A346" s="7">
        <v>345.0</v>
      </c>
      <c r="B346" s="8">
        <v>5.0</v>
      </c>
      <c r="C346" s="8">
        <v>11.0</v>
      </c>
      <c r="D346" s="8">
        <v>14.0</v>
      </c>
      <c r="E346" s="8">
        <v>34.0</v>
      </c>
      <c r="F346" s="8">
        <v>51.0</v>
      </c>
      <c r="G346" s="8">
        <v>53.0</v>
      </c>
      <c r="H346" s="9">
        <v>16.0</v>
      </c>
      <c r="I346" s="4">
        <v>43755.0</v>
      </c>
      <c r="J346" s="5" t="s">
        <v>687</v>
      </c>
      <c r="K346" s="10" t="s">
        <v>688</v>
      </c>
    </row>
    <row r="347">
      <c r="A347" s="7">
        <v>346.0</v>
      </c>
      <c r="B347" s="8">
        <v>1.0</v>
      </c>
      <c r="C347" s="8">
        <v>10.0</v>
      </c>
      <c r="D347" s="8">
        <v>21.0</v>
      </c>
      <c r="E347" s="8">
        <v>26.0</v>
      </c>
      <c r="F347" s="8">
        <v>42.0</v>
      </c>
      <c r="G347" s="8">
        <v>43.0</v>
      </c>
      <c r="H347" s="9">
        <v>25.0</v>
      </c>
      <c r="I347" s="4">
        <v>43757.0</v>
      </c>
      <c r="J347" s="5" t="s">
        <v>689</v>
      </c>
      <c r="K347" s="11" t="s">
        <v>690</v>
      </c>
    </row>
    <row r="348">
      <c r="A348" s="7">
        <v>347.0</v>
      </c>
      <c r="B348" s="8">
        <v>2.0</v>
      </c>
      <c r="C348" s="8">
        <v>16.0</v>
      </c>
      <c r="D348" s="8">
        <v>26.0</v>
      </c>
      <c r="E348" s="8">
        <v>27.0</v>
      </c>
      <c r="F348" s="8">
        <v>36.0</v>
      </c>
      <c r="G348" s="8">
        <v>40.0</v>
      </c>
      <c r="H348" s="9">
        <v>31.0</v>
      </c>
      <c r="I348" s="4">
        <v>43760.0</v>
      </c>
      <c r="J348" s="5" t="s">
        <v>691</v>
      </c>
      <c r="K348" s="10" t="s">
        <v>692</v>
      </c>
    </row>
    <row r="349">
      <c r="A349" s="7">
        <v>348.0</v>
      </c>
      <c r="B349" s="8">
        <v>9.0</v>
      </c>
      <c r="C349" s="8">
        <v>14.0</v>
      </c>
      <c r="D349" s="8">
        <v>23.0</v>
      </c>
      <c r="E349" s="8">
        <v>41.0</v>
      </c>
      <c r="F349" s="8">
        <v>45.0</v>
      </c>
      <c r="G349" s="8">
        <v>50.0</v>
      </c>
      <c r="H349" s="9">
        <v>13.0</v>
      </c>
      <c r="I349" s="4">
        <v>43762.0</v>
      </c>
      <c r="J349" s="5" t="s">
        <v>693</v>
      </c>
      <c r="K349" s="11" t="s">
        <v>694</v>
      </c>
    </row>
    <row r="350">
      <c r="A350" s="7">
        <v>349.0</v>
      </c>
      <c r="B350" s="8">
        <v>18.0</v>
      </c>
      <c r="C350" s="8">
        <v>20.0</v>
      </c>
      <c r="D350" s="8">
        <v>22.0</v>
      </c>
      <c r="E350" s="8">
        <v>50.0</v>
      </c>
      <c r="F350" s="8">
        <v>51.0</v>
      </c>
      <c r="G350" s="8">
        <v>53.0</v>
      </c>
      <c r="H350" s="9">
        <v>35.0</v>
      </c>
      <c r="I350" s="4">
        <v>43764.0</v>
      </c>
      <c r="J350" s="5" t="s">
        <v>695</v>
      </c>
      <c r="K350" s="10" t="s">
        <v>696</v>
      </c>
    </row>
    <row r="351">
      <c r="A351" s="7">
        <v>350.0</v>
      </c>
      <c r="B351" s="8">
        <v>12.0</v>
      </c>
      <c r="C351" s="8">
        <v>15.0</v>
      </c>
      <c r="D351" s="8">
        <v>16.0</v>
      </c>
      <c r="E351" s="8">
        <v>31.0</v>
      </c>
      <c r="F351" s="8">
        <v>43.0</v>
      </c>
      <c r="G351" s="8">
        <v>55.0</v>
      </c>
      <c r="H351" s="9">
        <v>11.0</v>
      </c>
      <c r="I351" s="4">
        <v>43767.0</v>
      </c>
      <c r="J351" s="5" t="s">
        <v>697</v>
      </c>
      <c r="K351" s="11" t="s">
        <v>698</v>
      </c>
    </row>
    <row r="352">
      <c r="A352" s="7">
        <v>351.0</v>
      </c>
      <c r="B352" s="8">
        <v>18.0</v>
      </c>
      <c r="C352" s="8">
        <v>19.0</v>
      </c>
      <c r="D352" s="8">
        <v>22.0</v>
      </c>
      <c r="E352" s="8">
        <v>37.0</v>
      </c>
      <c r="F352" s="8">
        <v>47.0</v>
      </c>
      <c r="G352" s="8">
        <v>48.0</v>
      </c>
      <c r="H352" s="9">
        <v>46.0</v>
      </c>
      <c r="I352" s="4">
        <v>43769.0</v>
      </c>
      <c r="J352" s="5" t="s">
        <v>699</v>
      </c>
      <c r="K352" s="10" t="s">
        <v>700</v>
      </c>
    </row>
    <row r="353">
      <c r="A353" s="7">
        <v>352.0</v>
      </c>
      <c r="B353" s="8">
        <v>2.0</v>
      </c>
      <c r="C353" s="8">
        <v>15.0</v>
      </c>
      <c r="D353" s="8">
        <v>34.0</v>
      </c>
      <c r="E353" s="8">
        <v>35.0</v>
      </c>
      <c r="F353" s="8">
        <v>48.0</v>
      </c>
      <c r="G353" s="8">
        <v>50.0</v>
      </c>
      <c r="H353" s="9">
        <v>32.0</v>
      </c>
      <c r="I353" s="4">
        <v>43771.0</v>
      </c>
      <c r="J353" s="5" t="s">
        <v>701</v>
      </c>
      <c r="K353" s="11" t="s">
        <v>702</v>
      </c>
    </row>
    <row r="354">
      <c r="A354" s="7">
        <v>353.0</v>
      </c>
      <c r="B354" s="8">
        <v>3.0</v>
      </c>
      <c r="C354" s="8">
        <v>6.0</v>
      </c>
      <c r="D354" s="8">
        <v>16.0</v>
      </c>
      <c r="E354" s="8">
        <v>17.0</v>
      </c>
      <c r="F354" s="8">
        <v>44.0</v>
      </c>
      <c r="G354" s="8">
        <v>50.0</v>
      </c>
      <c r="H354" s="9">
        <v>28.0</v>
      </c>
      <c r="I354" s="4">
        <v>43774.0</v>
      </c>
      <c r="J354" s="5" t="s">
        <v>703</v>
      </c>
      <c r="K354" s="12" t="s">
        <v>704</v>
      </c>
    </row>
    <row r="355">
      <c r="A355" s="7">
        <v>354.0</v>
      </c>
      <c r="B355" s="8">
        <v>1.0</v>
      </c>
      <c r="C355" s="8">
        <v>12.0</v>
      </c>
      <c r="D355" s="8">
        <v>19.0</v>
      </c>
      <c r="E355" s="8">
        <v>37.0</v>
      </c>
      <c r="F355" s="8">
        <v>44.0</v>
      </c>
      <c r="G355" s="8">
        <v>52.0</v>
      </c>
      <c r="H355" s="9">
        <v>18.0</v>
      </c>
      <c r="I355" s="4">
        <v>43776.0</v>
      </c>
      <c r="J355" s="5" t="s">
        <v>705</v>
      </c>
      <c r="K355" s="11" t="s">
        <v>706</v>
      </c>
    </row>
    <row r="356">
      <c r="A356" s="7">
        <v>355.0</v>
      </c>
      <c r="B356" s="8">
        <v>1.0</v>
      </c>
      <c r="C356" s="8">
        <v>3.0</v>
      </c>
      <c r="D356" s="8">
        <v>6.0</v>
      </c>
      <c r="E356" s="8">
        <v>25.0</v>
      </c>
      <c r="F356" s="8">
        <v>29.0</v>
      </c>
      <c r="G356" s="8">
        <v>41.0</v>
      </c>
      <c r="H356" s="9">
        <v>12.0</v>
      </c>
      <c r="I356" s="4">
        <v>43778.0</v>
      </c>
      <c r="J356" s="5" t="s">
        <v>707</v>
      </c>
      <c r="K356" s="10" t="s">
        <v>708</v>
      </c>
    </row>
    <row r="357">
      <c r="A357" s="7">
        <v>356.0</v>
      </c>
      <c r="B357" s="8">
        <v>10.0</v>
      </c>
      <c r="C357" s="8">
        <v>17.0</v>
      </c>
      <c r="D357" s="8">
        <v>24.0</v>
      </c>
      <c r="E357" s="8">
        <v>27.0</v>
      </c>
      <c r="F357" s="8">
        <v>36.0</v>
      </c>
      <c r="G357" s="8">
        <v>39.0</v>
      </c>
      <c r="H357" s="9">
        <v>33.0</v>
      </c>
      <c r="I357" s="4">
        <v>43781.0</v>
      </c>
      <c r="J357" s="5" t="s">
        <v>709</v>
      </c>
      <c r="K357" s="11" t="s">
        <v>710</v>
      </c>
    </row>
    <row r="358">
      <c r="A358" s="7">
        <v>357.0</v>
      </c>
      <c r="B358" s="8">
        <v>9.0</v>
      </c>
      <c r="C358" s="8">
        <v>12.0</v>
      </c>
      <c r="D358" s="8">
        <v>16.0</v>
      </c>
      <c r="E358" s="8">
        <v>36.0</v>
      </c>
      <c r="F358" s="8">
        <v>41.0</v>
      </c>
      <c r="G358" s="8">
        <v>55.0</v>
      </c>
      <c r="H358" s="9">
        <v>35.0</v>
      </c>
      <c r="I358" s="4">
        <v>43783.0</v>
      </c>
      <c r="J358" s="5" t="s">
        <v>711</v>
      </c>
      <c r="K358" s="10" t="s">
        <v>712</v>
      </c>
    </row>
    <row r="359">
      <c r="A359" s="7">
        <v>358.0</v>
      </c>
      <c r="B359" s="8">
        <v>6.0</v>
      </c>
      <c r="C359" s="8">
        <v>8.0</v>
      </c>
      <c r="D359" s="8">
        <v>18.0</v>
      </c>
      <c r="E359" s="8">
        <v>22.0</v>
      </c>
      <c r="F359" s="8">
        <v>49.0</v>
      </c>
      <c r="G359" s="8">
        <v>52.0</v>
      </c>
      <c r="H359" s="9">
        <v>10.0</v>
      </c>
      <c r="I359" s="4">
        <v>43785.0</v>
      </c>
      <c r="J359" s="5" t="s">
        <v>713</v>
      </c>
      <c r="K359" s="11" t="s">
        <v>714</v>
      </c>
    </row>
    <row r="360">
      <c r="A360" s="7">
        <v>359.0</v>
      </c>
      <c r="B360" s="8">
        <v>19.0</v>
      </c>
      <c r="C360" s="8">
        <v>21.0</v>
      </c>
      <c r="D360" s="8">
        <v>33.0</v>
      </c>
      <c r="E360" s="8">
        <v>35.0</v>
      </c>
      <c r="F360" s="8">
        <v>38.0</v>
      </c>
      <c r="G360" s="8">
        <v>40.0</v>
      </c>
      <c r="H360" s="9">
        <v>4.0</v>
      </c>
      <c r="I360" s="4">
        <v>43788.0</v>
      </c>
      <c r="J360" s="5" t="s">
        <v>715</v>
      </c>
      <c r="K360" s="10" t="s">
        <v>716</v>
      </c>
    </row>
    <row r="361">
      <c r="A361" s="7">
        <v>360.0</v>
      </c>
      <c r="B361" s="8">
        <v>21.0</v>
      </c>
      <c r="C361" s="8">
        <v>24.0</v>
      </c>
      <c r="D361" s="8">
        <v>35.0</v>
      </c>
      <c r="E361" s="8">
        <v>38.0</v>
      </c>
      <c r="F361" s="8">
        <v>42.0</v>
      </c>
      <c r="G361" s="8">
        <v>47.0</v>
      </c>
      <c r="H361" s="9">
        <v>34.0</v>
      </c>
      <c r="I361" s="4">
        <v>43790.0</v>
      </c>
      <c r="J361" s="5" t="s">
        <v>717</v>
      </c>
      <c r="K361" s="11" t="s">
        <v>718</v>
      </c>
    </row>
    <row r="362">
      <c r="A362" s="7">
        <v>361.0</v>
      </c>
      <c r="B362" s="8">
        <v>7.0</v>
      </c>
      <c r="C362" s="8">
        <v>29.0</v>
      </c>
      <c r="D362" s="8">
        <v>30.0</v>
      </c>
      <c r="E362" s="8">
        <v>45.0</v>
      </c>
      <c r="F362" s="8">
        <v>50.0</v>
      </c>
      <c r="G362" s="8">
        <v>55.0</v>
      </c>
      <c r="H362" s="9">
        <v>15.0</v>
      </c>
      <c r="I362" s="4">
        <v>43792.0</v>
      </c>
      <c r="J362" s="5" t="s">
        <v>719</v>
      </c>
      <c r="K362" s="10" t="s">
        <v>720</v>
      </c>
    </row>
    <row r="363">
      <c r="A363" s="7">
        <v>362.0</v>
      </c>
      <c r="B363" s="8">
        <v>7.0</v>
      </c>
      <c r="C363" s="8">
        <v>19.0</v>
      </c>
      <c r="D363" s="8">
        <v>38.0</v>
      </c>
      <c r="E363" s="8">
        <v>41.0</v>
      </c>
      <c r="F363" s="8">
        <v>42.0</v>
      </c>
      <c r="G363" s="8">
        <v>47.0</v>
      </c>
      <c r="H363" s="9">
        <v>4.0</v>
      </c>
      <c r="I363" s="4">
        <v>43795.0</v>
      </c>
      <c r="J363" s="5" t="s">
        <v>721</v>
      </c>
      <c r="K363" s="13" t="s">
        <v>722</v>
      </c>
    </row>
    <row r="364">
      <c r="A364" s="7">
        <v>363.0</v>
      </c>
      <c r="B364" s="8">
        <v>1.0</v>
      </c>
      <c r="C364" s="8">
        <v>18.0</v>
      </c>
      <c r="D364" s="8">
        <v>26.0</v>
      </c>
      <c r="E364" s="8">
        <v>28.0</v>
      </c>
      <c r="F364" s="8">
        <v>53.0</v>
      </c>
      <c r="G364" s="8">
        <v>55.0</v>
      </c>
      <c r="H364" s="9">
        <v>14.0</v>
      </c>
      <c r="I364" s="4">
        <v>43797.0</v>
      </c>
      <c r="J364" s="5" t="s">
        <v>723</v>
      </c>
      <c r="K364" s="12" t="s">
        <v>724</v>
      </c>
    </row>
    <row r="365">
      <c r="A365" s="7">
        <v>364.0</v>
      </c>
      <c r="B365" s="8">
        <v>8.0</v>
      </c>
      <c r="C365" s="8">
        <v>9.0</v>
      </c>
      <c r="D365" s="8">
        <v>10.0</v>
      </c>
      <c r="E365" s="8">
        <v>32.0</v>
      </c>
      <c r="F365" s="8">
        <v>44.0</v>
      </c>
      <c r="G365" s="8">
        <v>50.0</v>
      </c>
      <c r="H365" s="9">
        <v>15.0</v>
      </c>
      <c r="I365" s="4">
        <v>43799.0</v>
      </c>
      <c r="J365" s="5" t="s">
        <v>725</v>
      </c>
      <c r="K365" s="11" t="s">
        <v>726</v>
      </c>
    </row>
    <row r="366">
      <c r="A366" s="7">
        <v>365.0</v>
      </c>
      <c r="B366" s="8">
        <v>21.0</v>
      </c>
      <c r="C366" s="8">
        <v>29.0</v>
      </c>
      <c r="D366" s="8">
        <v>36.0</v>
      </c>
      <c r="E366" s="8">
        <v>41.0</v>
      </c>
      <c r="F366" s="8">
        <v>50.0</v>
      </c>
      <c r="G366" s="8">
        <v>52.0</v>
      </c>
      <c r="H366" s="9">
        <v>42.0</v>
      </c>
      <c r="I366" s="4">
        <v>43802.0</v>
      </c>
      <c r="J366" s="5" t="s">
        <v>727</v>
      </c>
      <c r="K366" s="10" t="s">
        <v>728</v>
      </c>
    </row>
    <row r="367">
      <c r="A367" s="7">
        <v>366.0</v>
      </c>
      <c r="B367" s="8">
        <v>9.0</v>
      </c>
      <c r="C367" s="8">
        <v>11.0</v>
      </c>
      <c r="D367" s="8">
        <v>16.0</v>
      </c>
      <c r="E367" s="8">
        <v>27.0</v>
      </c>
      <c r="F367" s="8">
        <v>35.0</v>
      </c>
      <c r="G367" s="8">
        <v>40.0</v>
      </c>
      <c r="H367" s="9">
        <v>51.0</v>
      </c>
      <c r="I367" s="4">
        <v>43804.0</v>
      </c>
      <c r="J367" s="5" t="s">
        <v>729</v>
      </c>
      <c r="K367" s="11" t="s">
        <v>730</v>
      </c>
    </row>
    <row r="368">
      <c r="A368" s="7">
        <v>367.0</v>
      </c>
      <c r="B368" s="8">
        <v>7.0</v>
      </c>
      <c r="C368" s="8">
        <v>18.0</v>
      </c>
      <c r="D368" s="8">
        <v>38.0</v>
      </c>
      <c r="E368" s="8">
        <v>42.0</v>
      </c>
      <c r="F368" s="8">
        <v>47.0</v>
      </c>
      <c r="G368" s="8">
        <v>51.0</v>
      </c>
      <c r="H368" s="9">
        <v>8.0</v>
      </c>
      <c r="I368" s="4">
        <v>43806.0</v>
      </c>
      <c r="J368" s="5" t="s">
        <v>731</v>
      </c>
      <c r="K368" s="10" t="s">
        <v>732</v>
      </c>
    </row>
    <row r="369">
      <c r="A369" s="7">
        <v>368.0</v>
      </c>
      <c r="B369" s="8">
        <v>5.0</v>
      </c>
      <c r="C369" s="8">
        <v>20.0</v>
      </c>
      <c r="D369" s="8">
        <v>33.0</v>
      </c>
      <c r="E369" s="8">
        <v>42.0</v>
      </c>
      <c r="F369" s="8">
        <v>43.0</v>
      </c>
      <c r="G369" s="8">
        <v>49.0</v>
      </c>
      <c r="H369" s="9">
        <v>26.0</v>
      </c>
      <c r="I369" s="4">
        <v>43809.0</v>
      </c>
      <c r="J369" s="5" t="s">
        <v>733</v>
      </c>
      <c r="K369" s="11" t="s">
        <v>734</v>
      </c>
    </row>
    <row r="370">
      <c r="A370" s="7">
        <v>369.0</v>
      </c>
      <c r="B370" s="8">
        <v>1.0</v>
      </c>
      <c r="C370" s="8">
        <v>9.0</v>
      </c>
      <c r="D370" s="8">
        <v>15.0</v>
      </c>
      <c r="E370" s="8">
        <v>42.0</v>
      </c>
      <c r="F370" s="8">
        <v>49.0</v>
      </c>
      <c r="G370" s="8">
        <v>50.0</v>
      </c>
      <c r="H370" s="9">
        <v>48.0</v>
      </c>
      <c r="I370" s="4">
        <v>43811.0</v>
      </c>
      <c r="J370" s="5" t="s">
        <v>735</v>
      </c>
      <c r="K370" s="10" t="s">
        <v>736</v>
      </c>
    </row>
    <row r="371">
      <c r="A371" s="7">
        <v>370.0</v>
      </c>
      <c r="B371" s="8">
        <v>3.0</v>
      </c>
      <c r="C371" s="8">
        <v>30.0</v>
      </c>
      <c r="D371" s="8">
        <v>33.0</v>
      </c>
      <c r="E371" s="8">
        <v>34.0</v>
      </c>
      <c r="F371" s="8">
        <v>40.0</v>
      </c>
      <c r="G371" s="8">
        <v>47.0</v>
      </c>
      <c r="H371" s="9">
        <v>26.0</v>
      </c>
      <c r="I371" s="4">
        <v>43813.0</v>
      </c>
      <c r="J371" s="5" t="s">
        <v>737</v>
      </c>
      <c r="K371" s="13" t="s">
        <v>738</v>
      </c>
    </row>
    <row r="372">
      <c r="A372" s="7">
        <v>371.0</v>
      </c>
      <c r="B372" s="8">
        <v>4.0</v>
      </c>
      <c r="C372" s="8">
        <v>5.0</v>
      </c>
      <c r="D372" s="8">
        <v>14.0</v>
      </c>
      <c r="E372" s="8">
        <v>19.0</v>
      </c>
      <c r="F372" s="8">
        <v>22.0</v>
      </c>
      <c r="G372" s="8">
        <v>37.0</v>
      </c>
      <c r="H372" s="9">
        <v>43.0</v>
      </c>
      <c r="I372" s="4">
        <v>43816.0</v>
      </c>
      <c r="J372" s="5" t="s">
        <v>739</v>
      </c>
      <c r="K372" s="10" t="s">
        <v>740</v>
      </c>
    </row>
    <row r="373">
      <c r="A373" s="7">
        <v>372.0</v>
      </c>
      <c r="B373" s="8">
        <v>18.0</v>
      </c>
      <c r="C373" s="8">
        <v>22.0</v>
      </c>
      <c r="D373" s="8">
        <v>25.0</v>
      </c>
      <c r="E373" s="8">
        <v>28.0</v>
      </c>
      <c r="F373" s="8">
        <v>29.0</v>
      </c>
      <c r="G373" s="8">
        <v>34.0</v>
      </c>
      <c r="H373" s="9">
        <v>50.0</v>
      </c>
      <c r="I373" s="4">
        <v>43818.0</v>
      </c>
      <c r="J373" s="5" t="s">
        <v>741</v>
      </c>
      <c r="K373" s="11" t="s">
        <v>742</v>
      </c>
    </row>
    <row r="374">
      <c r="A374" s="7">
        <v>373.0</v>
      </c>
      <c r="B374" s="8">
        <v>5.0</v>
      </c>
      <c r="C374" s="8">
        <v>8.0</v>
      </c>
      <c r="D374" s="8">
        <v>20.0</v>
      </c>
      <c r="E374" s="8">
        <v>34.0</v>
      </c>
      <c r="F374" s="8">
        <v>37.0</v>
      </c>
      <c r="G374" s="8">
        <v>42.0</v>
      </c>
      <c r="H374" s="9">
        <v>51.0</v>
      </c>
      <c r="I374" s="4">
        <v>43820.0</v>
      </c>
      <c r="J374" s="5" t="s">
        <v>743</v>
      </c>
      <c r="K374" s="10" t="s">
        <v>744</v>
      </c>
    </row>
    <row r="375">
      <c r="A375" s="7">
        <v>374.0</v>
      </c>
      <c r="B375" s="8">
        <v>3.0</v>
      </c>
      <c r="C375" s="8">
        <v>16.0</v>
      </c>
      <c r="D375" s="8">
        <v>30.0</v>
      </c>
      <c r="E375" s="8">
        <v>34.0</v>
      </c>
      <c r="F375" s="8">
        <v>50.0</v>
      </c>
      <c r="G375" s="8">
        <v>55.0</v>
      </c>
      <c r="H375" s="9">
        <v>48.0</v>
      </c>
      <c r="I375" s="4">
        <v>43823.0</v>
      </c>
      <c r="J375" s="5" t="s">
        <v>745</v>
      </c>
      <c r="K375" s="13" t="s">
        <v>746</v>
      </c>
    </row>
    <row r="376">
      <c r="A376" s="7">
        <v>375.0</v>
      </c>
      <c r="B376" s="8">
        <v>5.0</v>
      </c>
      <c r="C376" s="8">
        <v>6.0</v>
      </c>
      <c r="D376" s="8">
        <v>12.0</v>
      </c>
      <c r="E376" s="8">
        <v>18.0</v>
      </c>
      <c r="F376" s="8">
        <v>23.0</v>
      </c>
      <c r="G376" s="8">
        <v>54.0</v>
      </c>
      <c r="H376" s="9">
        <v>26.0</v>
      </c>
      <c r="I376" s="4">
        <v>43825.0</v>
      </c>
      <c r="J376" s="5" t="s">
        <v>747</v>
      </c>
      <c r="K376" s="10" t="s">
        <v>748</v>
      </c>
    </row>
    <row r="377">
      <c r="A377" s="7">
        <v>376.0</v>
      </c>
      <c r="B377" s="8">
        <v>10.0</v>
      </c>
      <c r="C377" s="8">
        <v>17.0</v>
      </c>
      <c r="D377" s="8">
        <v>26.0</v>
      </c>
      <c r="E377" s="8">
        <v>28.0</v>
      </c>
      <c r="F377" s="8">
        <v>29.0</v>
      </c>
      <c r="G377" s="8">
        <v>32.0</v>
      </c>
      <c r="H377" s="9">
        <v>21.0</v>
      </c>
      <c r="I377" s="4">
        <v>43827.0</v>
      </c>
      <c r="J377" s="5" t="s">
        <v>749</v>
      </c>
      <c r="K377" s="11" t="s">
        <v>750</v>
      </c>
    </row>
    <row r="378">
      <c r="A378" s="7">
        <v>377.0</v>
      </c>
      <c r="B378" s="8">
        <v>2.0</v>
      </c>
      <c r="C378" s="8">
        <v>22.0</v>
      </c>
      <c r="D378" s="8">
        <v>26.0</v>
      </c>
      <c r="E378" s="8">
        <v>28.0</v>
      </c>
      <c r="F378" s="8">
        <v>44.0</v>
      </c>
      <c r="G378" s="8">
        <v>55.0</v>
      </c>
      <c r="H378" s="9">
        <v>27.0</v>
      </c>
      <c r="I378" s="4">
        <v>43830.0</v>
      </c>
      <c r="J378" s="5" t="s">
        <v>751</v>
      </c>
      <c r="K378" s="10" t="s">
        <v>752</v>
      </c>
    </row>
    <row r="379">
      <c r="A379" s="7">
        <v>378.0</v>
      </c>
      <c r="B379" s="8">
        <v>12.0</v>
      </c>
      <c r="C379" s="8">
        <v>14.0</v>
      </c>
      <c r="D379" s="8">
        <v>26.0</v>
      </c>
      <c r="E379" s="8">
        <v>29.0</v>
      </c>
      <c r="F379" s="8">
        <v>33.0</v>
      </c>
      <c r="G379" s="8">
        <v>40.0</v>
      </c>
      <c r="H379" s="9">
        <v>50.0</v>
      </c>
      <c r="I379" s="4">
        <v>43832.0</v>
      </c>
      <c r="J379" s="5" t="s">
        <v>753</v>
      </c>
      <c r="K379" s="11" t="s">
        <v>754</v>
      </c>
    </row>
    <row r="380">
      <c r="A380" s="7">
        <v>379.0</v>
      </c>
      <c r="B380" s="8">
        <v>4.0</v>
      </c>
      <c r="C380" s="8">
        <v>14.0</v>
      </c>
      <c r="D380" s="8">
        <v>26.0</v>
      </c>
      <c r="E380" s="8">
        <v>42.0</v>
      </c>
      <c r="F380" s="8">
        <v>44.0</v>
      </c>
      <c r="G380" s="8">
        <v>55.0</v>
      </c>
      <c r="H380" s="9">
        <v>48.0</v>
      </c>
      <c r="I380" s="4">
        <v>43834.0</v>
      </c>
      <c r="J380" s="5" t="s">
        <v>755</v>
      </c>
      <c r="K380" s="10" t="s">
        <v>756</v>
      </c>
    </row>
    <row r="381">
      <c r="A381" s="7">
        <v>380.0</v>
      </c>
      <c r="B381" s="8">
        <v>8.0</v>
      </c>
      <c r="C381" s="8">
        <v>11.0</v>
      </c>
      <c r="D381" s="8">
        <v>16.0</v>
      </c>
      <c r="E381" s="8">
        <v>22.0</v>
      </c>
      <c r="F381" s="8">
        <v>42.0</v>
      </c>
      <c r="G381" s="8">
        <v>54.0</v>
      </c>
      <c r="H381" s="9">
        <v>13.0</v>
      </c>
      <c r="I381" s="4">
        <v>43837.0</v>
      </c>
      <c r="J381" s="5" t="s">
        <v>757</v>
      </c>
      <c r="K381" s="11" t="s">
        <v>758</v>
      </c>
    </row>
    <row r="382">
      <c r="A382" s="7">
        <v>381.0</v>
      </c>
      <c r="B382" s="8">
        <v>17.0</v>
      </c>
      <c r="C382" s="8">
        <v>20.0</v>
      </c>
      <c r="D382" s="8">
        <v>21.0</v>
      </c>
      <c r="E382" s="8">
        <v>29.0</v>
      </c>
      <c r="F382" s="8">
        <v>52.0</v>
      </c>
      <c r="G382" s="8">
        <v>54.0</v>
      </c>
      <c r="H382" s="9">
        <v>51.0</v>
      </c>
      <c r="I382" s="4">
        <v>43839.0</v>
      </c>
      <c r="J382" s="5" t="s">
        <v>759</v>
      </c>
      <c r="K382" s="10" t="s">
        <v>760</v>
      </c>
    </row>
    <row r="383">
      <c r="A383" s="7">
        <v>382.0</v>
      </c>
      <c r="B383" s="8">
        <v>8.0</v>
      </c>
      <c r="C383" s="8">
        <v>11.0</v>
      </c>
      <c r="D383" s="8">
        <v>17.0</v>
      </c>
      <c r="E383" s="8">
        <v>19.0</v>
      </c>
      <c r="F383" s="8">
        <v>25.0</v>
      </c>
      <c r="G383" s="8">
        <v>47.0</v>
      </c>
      <c r="H383" s="9">
        <v>53.0</v>
      </c>
      <c r="I383" s="4">
        <v>43841.0</v>
      </c>
      <c r="J383" s="5" t="s">
        <v>761</v>
      </c>
      <c r="K383" s="11" t="s">
        <v>762</v>
      </c>
    </row>
    <row r="384">
      <c r="A384" s="7">
        <v>383.0</v>
      </c>
      <c r="B384" s="8">
        <v>3.0</v>
      </c>
      <c r="C384" s="8">
        <v>4.0</v>
      </c>
      <c r="D384" s="8">
        <v>17.0</v>
      </c>
      <c r="E384" s="8">
        <v>39.0</v>
      </c>
      <c r="F384" s="8">
        <v>50.0</v>
      </c>
      <c r="G384" s="8">
        <v>51.0</v>
      </c>
      <c r="H384" s="9">
        <v>53.0</v>
      </c>
      <c r="I384" s="4">
        <v>43844.0</v>
      </c>
      <c r="J384" s="5" t="s">
        <v>763</v>
      </c>
      <c r="K384" s="10" t="s">
        <v>764</v>
      </c>
    </row>
    <row r="385">
      <c r="A385" s="7">
        <v>384.0</v>
      </c>
      <c r="B385" s="8">
        <v>10.0</v>
      </c>
      <c r="C385" s="8">
        <v>11.0</v>
      </c>
      <c r="D385" s="8">
        <v>26.0</v>
      </c>
      <c r="E385" s="8">
        <v>33.0</v>
      </c>
      <c r="F385" s="8">
        <v>44.0</v>
      </c>
      <c r="G385" s="8">
        <v>46.0</v>
      </c>
      <c r="H385" s="9">
        <v>55.0</v>
      </c>
      <c r="I385" s="4">
        <v>43846.0</v>
      </c>
      <c r="J385" s="5" t="s">
        <v>765</v>
      </c>
      <c r="K385" s="11" t="s">
        <v>766</v>
      </c>
    </row>
    <row r="386">
      <c r="A386" s="7">
        <v>385.0</v>
      </c>
      <c r="B386" s="8">
        <v>13.0</v>
      </c>
      <c r="C386" s="8">
        <v>18.0</v>
      </c>
      <c r="D386" s="8">
        <v>19.0</v>
      </c>
      <c r="E386" s="8">
        <v>23.0</v>
      </c>
      <c r="F386" s="8">
        <v>32.0</v>
      </c>
      <c r="G386" s="8">
        <v>43.0</v>
      </c>
      <c r="H386" s="9">
        <v>11.0</v>
      </c>
      <c r="I386" s="4">
        <v>43848.0</v>
      </c>
      <c r="J386" s="5" t="s">
        <v>767</v>
      </c>
      <c r="K386" s="10" t="s">
        <v>768</v>
      </c>
    </row>
    <row r="387">
      <c r="A387" s="7">
        <v>386.0</v>
      </c>
      <c r="B387" s="8">
        <v>14.0</v>
      </c>
      <c r="C387" s="8">
        <v>31.0</v>
      </c>
      <c r="D387" s="8">
        <v>45.0</v>
      </c>
      <c r="E387" s="8">
        <v>47.0</v>
      </c>
      <c r="F387" s="8">
        <v>52.0</v>
      </c>
      <c r="G387" s="8">
        <v>54.0</v>
      </c>
      <c r="H387" s="9">
        <v>13.0</v>
      </c>
      <c r="I387" s="4">
        <v>43851.0</v>
      </c>
      <c r="J387" s="5" t="s">
        <v>769</v>
      </c>
      <c r="K387" s="13" t="s">
        <v>770</v>
      </c>
    </row>
    <row r="388">
      <c r="A388" s="7">
        <v>387.0</v>
      </c>
      <c r="B388" s="8">
        <v>9.0</v>
      </c>
      <c r="C388" s="8">
        <v>15.0</v>
      </c>
      <c r="D388" s="8">
        <v>18.0</v>
      </c>
      <c r="E388" s="8">
        <v>25.0</v>
      </c>
      <c r="F388" s="8">
        <v>31.0</v>
      </c>
      <c r="G388" s="8">
        <v>49.0</v>
      </c>
      <c r="H388" s="9">
        <v>46.0</v>
      </c>
      <c r="I388" s="4">
        <v>43853.0</v>
      </c>
      <c r="J388" s="5" t="s">
        <v>771</v>
      </c>
      <c r="K388" s="10" t="s">
        <v>772</v>
      </c>
    </row>
    <row r="389">
      <c r="A389" s="7">
        <v>388.0</v>
      </c>
      <c r="B389" s="8">
        <v>1.0</v>
      </c>
      <c r="C389" s="8">
        <v>20.0</v>
      </c>
      <c r="D389" s="8">
        <v>24.0</v>
      </c>
      <c r="E389" s="8">
        <v>33.0</v>
      </c>
      <c r="F389" s="8">
        <v>40.0</v>
      </c>
      <c r="G389" s="8">
        <v>55.0</v>
      </c>
      <c r="H389" s="9">
        <v>46.0</v>
      </c>
      <c r="I389" s="4">
        <v>43858.0</v>
      </c>
      <c r="J389" s="5" t="s">
        <v>773</v>
      </c>
      <c r="K389" s="11" t="s">
        <v>774</v>
      </c>
    </row>
    <row r="390">
      <c r="A390" s="7">
        <v>389.0</v>
      </c>
      <c r="B390" s="8">
        <v>12.0</v>
      </c>
      <c r="C390" s="8">
        <v>18.0</v>
      </c>
      <c r="D390" s="8">
        <v>28.0</v>
      </c>
      <c r="E390" s="8">
        <v>30.0</v>
      </c>
      <c r="F390" s="8">
        <v>47.0</v>
      </c>
      <c r="G390" s="8">
        <v>50.0</v>
      </c>
      <c r="H390" s="9">
        <v>41.0</v>
      </c>
      <c r="I390" s="4">
        <v>43860.0</v>
      </c>
      <c r="J390" s="5" t="s">
        <v>775</v>
      </c>
      <c r="K390" s="12" t="s">
        <v>776</v>
      </c>
    </row>
    <row r="391">
      <c r="A391" s="7">
        <v>390.0</v>
      </c>
      <c r="B391" s="8">
        <v>2.0</v>
      </c>
      <c r="C391" s="8">
        <v>3.0</v>
      </c>
      <c r="D391" s="8">
        <v>11.0</v>
      </c>
      <c r="E391" s="8">
        <v>23.0</v>
      </c>
      <c r="F391" s="8">
        <v>35.0</v>
      </c>
      <c r="G391" s="8">
        <v>54.0</v>
      </c>
      <c r="H391" s="9">
        <v>6.0</v>
      </c>
      <c r="I391" s="4">
        <v>43862.0</v>
      </c>
      <c r="J391" s="5" t="s">
        <v>777</v>
      </c>
      <c r="K391" s="11" t="s">
        <v>778</v>
      </c>
    </row>
    <row r="392">
      <c r="A392" s="7">
        <v>391.0</v>
      </c>
      <c r="B392" s="8">
        <v>6.0</v>
      </c>
      <c r="C392" s="8">
        <v>10.0</v>
      </c>
      <c r="D392" s="8">
        <v>20.0</v>
      </c>
      <c r="E392" s="8">
        <v>47.0</v>
      </c>
      <c r="F392" s="8">
        <v>52.0</v>
      </c>
      <c r="G392" s="8">
        <v>55.0</v>
      </c>
      <c r="H392" s="9">
        <v>46.0</v>
      </c>
      <c r="I392" s="4">
        <v>43865.0</v>
      </c>
      <c r="J392" s="5" t="s">
        <v>779</v>
      </c>
      <c r="K392" s="10" t="s">
        <v>780</v>
      </c>
    </row>
    <row r="393">
      <c r="A393" s="7">
        <v>392.0</v>
      </c>
      <c r="B393" s="8">
        <v>13.0</v>
      </c>
      <c r="C393" s="8">
        <v>18.0</v>
      </c>
      <c r="D393" s="8">
        <v>34.0</v>
      </c>
      <c r="E393" s="8">
        <v>36.0</v>
      </c>
      <c r="F393" s="8">
        <v>45.0</v>
      </c>
      <c r="G393" s="8">
        <v>49.0</v>
      </c>
      <c r="H393" s="9">
        <v>37.0</v>
      </c>
      <c r="I393" s="4">
        <v>43867.0</v>
      </c>
      <c r="J393" s="5" t="s">
        <v>781</v>
      </c>
      <c r="K393" s="13" t="s">
        <v>782</v>
      </c>
    </row>
    <row r="394">
      <c r="A394" s="7">
        <v>393.0</v>
      </c>
      <c r="B394" s="8">
        <v>9.0</v>
      </c>
      <c r="C394" s="8">
        <v>12.0</v>
      </c>
      <c r="D394" s="8">
        <v>19.0</v>
      </c>
      <c r="E394" s="8">
        <v>25.0</v>
      </c>
      <c r="F394" s="8">
        <v>41.0</v>
      </c>
      <c r="G394" s="8">
        <v>54.0</v>
      </c>
      <c r="H394" s="9">
        <v>38.0</v>
      </c>
      <c r="I394" s="4">
        <v>43869.0</v>
      </c>
      <c r="J394" s="5" t="s">
        <v>783</v>
      </c>
      <c r="K394" s="10" t="s">
        <v>784</v>
      </c>
    </row>
    <row r="395">
      <c r="A395" s="7">
        <v>394.0</v>
      </c>
      <c r="B395" s="8">
        <v>4.0</v>
      </c>
      <c r="C395" s="8">
        <v>14.0</v>
      </c>
      <c r="D395" s="8">
        <v>18.0</v>
      </c>
      <c r="E395" s="8">
        <v>21.0</v>
      </c>
      <c r="F395" s="8">
        <v>32.0</v>
      </c>
      <c r="G395" s="8">
        <v>53.0</v>
      </c>
      <c r="H395" s="9">
        <v>2.0</v>
      </c>
      <c r="I395" s="4">
        <v>43872.0</v>
      </c>
      <c r="J395" s="5" t="s">
        <v>785</v>
      </c>
      <c r="K395" s="11" t="s">
        <v>786</v>
      </c>
    </row>
    <row r="396">
      <c r="A396" s="7">
        <v>395.0</v>
      </c>
      <c r="B396" s="8">
        <v>25.0</v>
      </c>
      <c r="C396" s="8">
        <v>28.0</v>
      </c>
      <c r="D396" s="8">
        <v>32.0</v>
      </c>
      <c r="E396" s="8">
        <v>34.0</v>
      </c>
      <c r="F396" s="8">
        <v>35.0</v>
      </c>
      <c r="G396" s="8">
        <v>39.0</v>
      </c>
      <c r="H396" s="9">
        <v>7.0</v>
      </c>
      <c r="I396" s="4">
        <v>43874.0</v>
      </c>
      <c r="J396" s="5" t="s">
        <v>787</v>
      </c>
      <c r="K396" s="10" t="s">
        <v>788</v>
      </c>
    </row>
    <row r="397">
      <c r="A397" s="7">
        <v>396.0</v>
      </c>
      <c r="B397" s="8">
        <v>26.0</v>
      </c>
      <c r="C397" s="8">
        <v>36.0</v>
      </c>
      <c r="D397" s="8">
        <v>37.0</v>
      </c>
      <c r="E397" s="8">
        <v>38.0</v>
      </c>
      <c r="F397" s="8">
        <v>42.0</v>
      </c>
      <c r="G397" s="8">
        <v>49.0</v>
      </c>
      <c r="H397" s="9">
        <v>46.0</v>
      </c>
      <c r="I397" s="4">
        <v>43876.0</v>
      </c>
      <c r="J397" s="5" t="s">
        <v>789</v>
      </c>
      <c r="K397" s="11" t="s">
        <v>790</v>
      </c>
    </row>
    <row r="398">
      <c r="A398" s="7">
        <v>397.0</v>
      </c>
      <c r="B398" s="8">
        <v>27.0</v>
      </c>
      <c r="C398" s="8">
        <v>32.0</v>
      </c>
      <c r="D398" s="8">
        <v>36.0</v>
      </c>
      <c r="E398" s="8">
        <v>37.0</v>
      </c>
      <c r="F398" s="8">
        <v>47.0</v>
      </c>
      <c r="G398" s="8">
        <v>48.0</v>
      </c>
      <c r="H398" s="9">
        <v>50.0</v>
      </c>
      <c r="I398" s="4">
        <v>43879.0</v>
      </c>
      <c r="J398" s="5" t="s">
        <v>791</v>
      </c>
      <c r="K398" s="10" t="s">
        <v>792</v>
      </c>
    </row>
    <row r="399">
      <c r="A399" s="7">
        <v>398.0</v>
      </c>
      <c r="B399" s="8">
        <v>1.0</v>
      </c>
      <c r="C399" s="8">
        <v>3.0</v>
      </c>
      <c r="D399" s="8">
        <v>20.0</v>
      </c>
      <c r="E399" s="8">
        <v>33.0</v>
      </c>
      <c r="F399" s="8">
        <v>36.0</v>
      </c>
      <c r="G399" s="8">
        <v>51.0</v>
      </c>
      <c r="H399" s="9">
        <v>49.0</v>
      </c>
      <c r="I399" s="4">
        <v>43881.0</v>
      </c>
      <c r="J399" s="5" t="s">
        <v>793</v>
      </c>
      <c r="K399" s="11" t="s">
        <v>794</v>
      </c>
    </row>
    <row r="400">
      <c r="A400" s="7">
        <v>399.0</v>
      </c>
      <c r="B400" s="8">
        <v>7.0</v>
      </c>
      <c r="C400" s="8">
        <v>24.0</v>
      </c>
      <c r="D400" s="8">
        <v>32.0</v>
      </c>
      <c r="E400" s="8">
        <v>49.0</v>
      </c>
      <c r="F400" s="8">
        <v>51.0</v>
      </c>
      <c r="G400" s="8">
        <v>54.0</v>
      </c>
      <c r="H400" s="9">
        <v>44.0</v>
      </c>
      <c r="I400" s="4">
        <v>43883.0</v>
      </c>
      <c r="J400" s="5" t="s">
        <v>795</v>
      </c>
      <c r="K400" s="10" t="s">
        <v>796</v>
      </c>
    </row>
    <row r="401">
      <c r="A401" s="7">
        <v>400.0</v>
      </c>
      <c r="B401" s="8">
        <v>5.0</v>
      </c>
      <c r="C401" s="8">
        <v>13.0</v>
      </c>
      <c r="D401" s="8">
        <v>21.0</v>
      </c>
      <c r="E401" s="8">
        <v>36.0</v>
      </c>
      <c r="F401" s="8">
        <v>39.0</v>
      </c>
      <c r="G401" s="8">
        <v>48.0</v>
      </c>
      <c r="H401" s="9">
        <v>6.0</v>
      </c>
      <c r="I401" s="4">
        <v>43886.0</v>
      </c>
      <c r="J401" s="5" t="s">
        <v>797</v>
      </c>
      <c r="K401" s="11" t="s">
        <v>798</v>
      </c>
    </row>
    <row r="402">
      <c r="A402" s="7">
        <v>401.0</v>
      </c>
      <c r="B402" s="8">
        <v>3.0</v>
      </c>
      <c r="C402" s="8">
        <v>11.0</v>
      </c>
      <c r="D402" s="8">
        <v>21.0</v>
      </c>
      <c r="E402" s="8">
        <v>29.0</v>
      </c>
      <c r="F402" s="8">
        <v>47.0</v>
      </c>
      <c r="G402" s="8">
        <v>55.0</v>
      </c>
      <c r="H402" s="9">
        <v>50.0</v>
      </c>
      <c r="I402" s="4">
        <v>43888.0</v>
      </c>
      <c r="J402" s="5" t="s">
        <v>799</v>
      </c>
      <c r="K402" s="10" t="s">
        <v>800</v>
      </c>
    </row>
    <row r="403">
      <c r="A403" s="7">
        <v>402.0</v>
      </c>
      <c r="B403" s="8">
        <v>9.0</v>
      </c>
      <c r="C403" s="8">
        <v>17.0</v>
      </c>
      <c r="D403" s="8">
        <v>23.0</v>
      </c>
      <c r="E403" s="8">
        <v>26.0</v>
      </c>
      <c r="F403" s="8">
        <v>51.0</v>
      </c>
      <c r="G403" s="8">
        <v>54.0</v>
      </c>
      <c r="H403" s="9">
        <v>32.0</v>
      </c>
      <c r="I403" s="4">
        <v>43890.0</v>
      </c>
      <c r="J403" s="5" t="s">
        <v>801</v>
      </c>
      <c r="K403" s="11" t="s">
        <v>802</v>
      </c>
    </row>
    <row r="404">
      <c r="A404" s="7">
        <v>403.0</v>
      </c>
      <c r="B404" s="8">
        <v>14.0</v>
      </c>
      <c r="C404" s="8">
        <v>15.0</v>
      </c>
      <c r="D404" s="8">
        <v>31.0</v>
      </c>
      <c r="E404" s="8">
        <v>40.0</v>
      </c>
      <c r="F404" s="8">
        <v>43.0</v>
      </c>
      <c r="G404" s="8">
        <v>49.0</v>
      </c>
      <c r="H404" s="9">
        <v>12.0</v>
      </c>
      <c r="I404" s="4">
        <v>43893.0</v>
      </c>
      <c r="J404" s="5" t="s">
        <v>803</v>
      </c>
      <c r="K404" s="12" t="s">
        <v>804</v>
      </c>
    </row>
    <row r="405">
      <c r="A405" s="7">
        <v>404.0</v>
      </c>
      <c r="B405" s="8">
        <v>8.0</v>
      </c>
      <c r="C405" s="8">
        <v>9.0</v>
      </c>
      <c r="D405" s="8">
        <v>34.0</v>
      </c>
      <c r="E405" s="8">
        <v>40.0</v>
      </c>
      <c r="F405" s="8">
        <v>41.0</v>
      </c>
      <c r="G405" s="8">
        <v>54.0</v>
      </c>
      <c r="H405" s="9">
        <v>13.0</v>
      </c>
      <c r="I405" s="4">
        <v>43895.0</v>
      </c>
      <c r="J405" s="5" t="s">
        <v>805</v>
      </c>
      <c r="K405" s="11" t="s">
        <v>806</v>
      </c>
    </row>
    <row r="406">
      <c r="A406" s="7">
        <v>405.0</v>
      </c>
      <c r="B406" s="8">
        <v>5.0</v>
      </c>
      <c r="C406" s="8">
        <v>11.0</v>
      </c>
      <c r="D406" s="8">
        <v>21.0</v>
      </c>
      <c r="E406" s="8">
        <v>30.0</v>
      </c>
      <c r="F406" s="8">
        <v>40.0</v>
      </c>
      <c r="G406" s="8">
        <v>48.0</v>
      </c>
      <c r="H406" s="9">
        <v>20.0</v>
      </c>
      <c r="I406" s="4">
        <v>43897.0</v>
      </c>
      <c r="J406" s="5" t="s">
        <v>807</v>
      </c>
      <c r="K406" s="12" t="s">
        <v>808</v>
      </c>
    </row>
    <row r="407">
      <c r="A407" s="7">
        <v>406.0</v>
      </c>
      <c r="B407" s="8">
        <v>23.0</v>
      </c>
      <c r="C407" s="8">
        <v>25.0</v>
      </c>
      <c r="D407" s="8">
        <v>30.0</v>
      </c>
      <c r="E407" s="8">
        <v>36.0</v>
      </c>
      <c r="F407" s="8">
        <v>45.0</v>
      </c>
      <c r="G407" s="8">
        <v>52.0</v>
      </c>
      <c r="H407" s="9">
        <v>53.0</v>
      </c>
      <c r="I407" s="4">
        <v>43900.0</v>
      </c>
      <c r="J407" s="5" t="s">
        <v>809</v>
      </c>
      <c r="K407" s="11" t="s">
        <v>810</v>
      </c>
    </row>
    <row r="408">
      <c r="A408" s="7">
        <v>407.0</v>
      </c>
      <c r="B408" s="8">
        <v>2.0</v>
      </c>
      <c r="C408" s="8">
        <v>14.0</v>
      </c>
      <c r="D408" s="8">
        <v>19.0</v>
      </c>
      <c r="E408" s="8">
        <v>24.0</v>
      </c>
      <c r="F408" s="8">
        <v>27.0</v>
      </c>
      <c r="G408" s="8">
        <v>34.0</v>
      </c>
      <c r="H408" s="9">
        <v>48.0</v>
      </c>
      <c r="I408" s="4">
        <v>43902.0</v>
      </c>
      <c r="J408" s="5" t="s">
        <v>811</v>
      </c>
      <c r="K408" s="10" t="s">
        <v>812</v>
      </c>
    </row>
    <row r="409">
      <c r="A409" s="7">
        <v>408.0</v>
      </c>
      <c r="B409" s="8">
        <v>12.0</v>
      </c>
      <c r="C409" s="8">
        <v>20.0</v>
      </c>
      <c r="D409" s="8">
        <v>25.0</v>
      </c>
      <c r="E409" s="8">
        <v>38.0</v>
      </c>
      <c r="F409" s="8">
        <v>39.0</v>
      </c>
      <c r="G409" s="8">
        <v>40.0</v>
      </c>
      <c r="H409" s="9">
        <v>37.0</v>
      </c>
      <c r="I409" s="4">
        <v>43904.0</v>
      </c>
      <c r="J409" s="5" t="s">
        <v>813</v>
      </c>
      <c r="K409" s="11" t="s">
        <v>814</v>
      </c>
    </row>
    <row r="410">
      <c r="A410" s="7">
        <v>409.0</v>
      </c>
      <c r="B410" s="8">
        <v>1.0</v>
      </c>
      <c r="C410" s="8">
        <v>14.0</v>
      </c>
      <c r="D410" s="8">
        <v>18.0</v>
      </c>
      <c r="E410" s="8">
        <v>43.0</v>
      </c>
      <c r="F410" s="8">
        <v>49.0</v>
      </c>
      <c r="G410" s="8">
        <v>50.0</v>
      </c>
      <c r="H410" s="9">
        <v>8.0</v>
      </c>
      <c r="I410" s="4">
        <v>43907.0</v>
      </c>
      <c r="J410" s="5" t="s">
        <v>815</v>
      </c>
      <c r="K410" s="10" t="s">
        <v>816</v>
      </c>
    </row>
    <row r="411">
      <c r="A411" s="7">
        <v>410.0</v>
      </c>
      <c r="B411" s="8">
        <v>3.0</v>
      </c>
      <c r="C411" s="8">
        <v>35.0</v>
      </c>
      <c r="D411" s="8">
        <v>41.0</v>
      </c>
      <c r="E411" s="8">
        <v>42.0</v>
      </c>
      <c r="F411" s="8">
        <v>43.0</v>
      </c>
      <c r="G411" s="8">
        <v>49.0</v>
      </c>
      <c r="H411" s="9">
        <v>31.0</v>
      </c>
      <c r="I411" s="4">
        <v>43909.0</v>
      </c>
      <c r="J411" s="5" t="s">
        <v>817</v>
      </c>
      <c r="K411" s="11" t="s">
        <v>818</v>
      </c>
    </row>
    <row r="412">
      <c r="A412" s="7">
        <v>411.0</v>
      </c>
      <c r="B412" s="8">
        <v>10.0</v>
      </c>
      <c r="C412" s="8">
        <v>12.0</v>
      </c>
      <c r="D412" s="8">
        <v>14.0</v>
      </c>
      <c r="E412" s="8">
        <v>17.0</v>
      </c>
      <c r="F412" s="8">
        <v>29.0</v>
      </c>
      <c r="G412" s="8">
        <v>53.0</v>
      </c>
      <c r="H412" s="9">
        <v>25.0</v>
      </c>
      <c r="I412" s="4">
        <v>43911.0</v>
      </c>
      <c r="J412" s="5" t="s">
        <v>819</v>
      </c>
      <c r="K412" s="10" t="s">
        <v>820</v>
      </c>
    </row>
    <row r="413">
      <c r="A413" s="7">
        <v>412.0</v>
      </c>
      <c r="B413" s="8">
        <v>3.0</v>
      </c>
      <c r="C413" s="8">
        <v>9.0</v>
      </c>
      <c r="D413" s="8">
        <v>20.0</v>
      </c>
      <c r="E413" s="8">
        <v>21.0</v>
      </c>
      <c r="F413" s="8">
        <v>33.0</v>
      </c>
      <c r="G413" s="8">
        <v>52.0</v>
      </c>
      <c r="H413" s="9">
        <v>50.0</v>
      </c>
      <c r="I413" s="4">
        <v>43914.0</v>
      </c>
      <c r="J413" s="5" t="s">
        <v>821</v>
      </c>
      <c r="K413" s="11" t="s">
        <v>822</v>
      </c>
    </row>
    <row r="414">
      <c r="A414" s="7">
        <v>413.0</v>
      </c>
      <c r="B414" s="8">
        <v>7.0</v>
      </c>
      <c r="C414" s="8">
        <v>8.0</v>
      </c>
      <c r="D414" s="8">
        <v>11.0</v>
      </c>
      <c r="E414" s="8">
        <v>31.0</v>
      </c>
      <c r="F414" s="8">
        <v>35.0</v>
      </c>
      <c r="G414" s="8">
        <v>36.0</v>
      </c>
      <c r="H414" s="9">
        <v>45.0</v>
      </c>
      <c r="I414" s="4">
        <v>43916.0</v>
      </c>
      <c r="J414" s="5" t="s">
        <v>823</v>
      </c>
      <c r="K414" s="10" t="s">
        <v>824</v>
      </c>
    </row>
    <row r="415">
      <c r="A415" s="7">
        <v>414.0</v>
      </c>
      <c r="B415" s="8">
        <v>1.0</v>
      </c>
      <c r="C415" s="8">
        <v>10.0</v>
      </c>
      <c r="D415" s="8">
        <v>11.0</v>
      </c>
      <c r="E415" s="8">
        <v>13.0</v>
      </c>
      <c r="F415" s="8">
        <v>27.0</v>
      </c>
      <c r="G415" s="8">
        <v>55.0</v>
      </c>
      <c r="H415" s="9">
        <v>19.0</v>
      </c>
      <c r="I415" s="4">
        <v>43918.0</v>
      </c>
      <c r="J415" s="5" t="s">
        <v>825</v>
      </c>
      <c r="K415" s="13" t="s">
        <v>826</v>
      </c>
    </row>
    <row r="416">
      <c r="A416" s="7">
        <v>415.0</v>
      </c>
      <c r="B416" s="8">
        <v>12.0</v>
      </c>
      <c r="C416" s="8">
        <v>19.0</v>
      </c>
      <c r="D416" s="8">
        <v>40.0</v>
      </c>
      <c r="E416" s="8">
        <v>41.0</v>
      </c>
      <c r="F416" s="8">
        <v>43.0</v>
      </c>
      <c r="G416" s="8">
        <v>53.0</v>
      </c>
      <c r="H416" s="9">
        <v>23.0</v>
      </c>
      <c r="I416" s="4">
        <v>43921.0</v>
      </c>
      <c r="J416" s="5" t="s">
        <v>827</v>
      </c>
      <c r="K416" s="12" t="s">
        <v>828</v>
      </c>
    </row>
    <row r="417">
      <c r="A417" s="7">
        <v>416.0</v>
      </c>
      <c r="B417" s="8">
        <v>4.0</v>
      </c>
      <c r="C417" s="8">
        <v>18.0</v>
      </c>
      <c r="D417" s="8">
        <v>24.0</v>
      </c>
      <c r="E417" s="8">
        <v>30.0</v>
      </c>
      <c r="F417" s="8">
        <v>53.0</v>
      </c>
      <c r="G417" s="8">
        <v>55.0</v>
      </c>
      <c r="H417" s="9">
        <v>13.0</v>
      </c>
      <c r="I417" s="4">
        <v>43946.0</v>
      </c>
      <c r="J417" s="5" t="s">
        <v>829</v>
      </c>
      <c r="K417" s="11" t="s">
        <v>830</v>
      </c>
    </row>
    <row r="418">
      <c r="A418" s="7">
        <v>417.0</v>
      </c>
      <c r="B418" s="8">
        <v>4.0</v>
      </c>
      <c r="C418" s="8">
        <v>6.0</v>
      </c>
      <c r="D418" s="8">
        <v>10.0</v>
      </c>
      <c r="E418" s="8">
        <v>16.0</v>
      </c>
      <c r="F418" s="8">
        <v>30.0</v>
      </c>
      <c r="G418" s="8">
        <v>46.0</v>
      </c>
      <c r="H418" s="9">
        <v>34.0</v>
      </c>
      <c r="I418" s="4">
        <v>43949.0</v>
      </c>
      <c r="J418" s="5" t="s">
        <v>831</v>
      </c>
      <c r="K418" s="12" t="s">
        <v>832</v>
      </c>
    </row>
    <row r="419">
      <c r="A419" s="7">
        <v>418.0</v>
      </c>
      <c r="B419" s="8">
        <v>12.0</v>
      </c>
      <c r="C419" s="8">
        <v>31.0</v>
      </c>
      <c r="D419" s="8">
        <v>32.0</v>
      </c>
      <c r="E419" s="8">
        <v>33.0</v>
      </c>
      <c r="F419" s="8">
        <v>39.0</v>
      </c>
      <c r="G419" s="8">
        <v>41.0</v>
      </c>
      <c r="H419" s="9">
        <v>14.0</v>
      </c>
      <c r="I419" s="4">
        <v>43951.0</v>
      </c>
      <c r="J419" s="5" t="s">
        <v>833</v>
      </c>
      <c r="K419" s="11" t="s">
        <v>834</v>
      </c>
    </row>
    <row r="420">
      <c r="A420" s="7">
        <v>419.0</v>
      </c>
      <c r="B420" s="8">
        <v>2.0</v>
      </c>
      <c r="C420" s="8">
        <v>6.0</v>
      </c>
      <c r="D420" s="8">
        <v>9.0</v>
      </c>
      <c r="E420" s="8">
        <v>16.0</v>
      </c>
      <c r="F420" s="8">
        <v>43.0</v>
      </c>
      <c r="G420" s="8">
        <v>53.0</v>
      </c>
      <c r="H420" s="9">
        <v>19.0</v>
      </c>
      <c r="I420" s="4">
        <v>43953.0</v>
      </c>
      <c r="J420" s="5" t="s">
        <v>835</v>
      </c>
      <c r="K420" s="10" t="s">
        <v>836</v>
      </c>
    </row>
    <row r="421">
      <c r="A421" s="7">
        <v>420.0</v>
      </c>
      <c r="B421" s="8">
        <v>1.0</v>
      </c>
      <c r="C421" s="8">
        <v>4.0</v>
      </c>
      <c r="D421" s="8">
        <v>13.0</v>
      </c>
      <c r="E421" s="8">
        <v>15.0</v>
      </c>
      <c r="F421" s="8">
        <v>18.0</v>
      </c>
      <c r="G421" s="8">
        <v>20.0</v>
      </c>
      <c r="H421" s="9">
        <v>22.0</v>
      </c>
      <c r="I421" s="4">
        <v>43956.0</v>
      </c>
      <c r="J421" s="5" t="s">
        <v>837</v>
      </c>
      <c r="K421" s="13" t="s">
        <v>838</v>
      </c>
    </row>
    <row r="422">
      <c r="A422" s="7">
        <v>421.0</v>
      </c>
      <c r="B422" s="8">
        <v>9.0</v>
      </c>
      <c r="C422" s="8">
        <v>19.0</v>
      </c>
      <c r="D422" s="8">
        <v>28.0</v>
      </c>
      <c r="E422" s="8">
        <v>30.0</v>
      </c>
      <c r="F422" s="8">
        <v>32.0</v>
      </c>
      <c r="G422" s="8">
        <v>54.0</v>
      </c>
      <c r="H422" s="9">
        <v>22.0</v>
      </c>
      <c r="I422" s="4">
        <v>43958.0</v>
      </c>
      <c r="J422" s="5" t="s">
        <v>839</v>
      </c>
      <c r="K422" s="10" t="s">
        <v>840</v>
      </c>
    </row>
    <row r="423">
      <c r="A423" s="7">
        <v>422.0</v>
      </c>
      <c r="B423" s="8">
        <v>18.0</v>
      </c>
      <c r="C423" s="8">
        <v>19.0</v>
      </c>
      <c r="D423" s="8">
        <v>30.0</v>
      </c>
      <c r="E423" s="8">
        <v>39.0</v>
      </c>
      <c r="F423" s="8">
        <v>45.0</v>
      </c>
      <c r="G423" s="8">
        <v>46.0</v>
      </c>
      <c r="H423" s="9">
        <v>11.0</v>
      </c>
      <c r="I423" s="4">
        <v>43960.0</v>
      </c>
      <c r="J423" s="5" t="s">
        <v>841</v>
      </c>
      <c r="K423" s="11" t="s">
        <v>842</v>
      </c>
    </row>
    <row r="424">
      <c r="A424" s="7">
        <v>423.0</v>
      </c>
      <c r="B424" s="8">
        <v>1.0</v>
      </c>
      <c r="C424" s="8">
        <v>8.0</v>
      </c>
      <c r="D424" s="8">
        <v>25.0</v>
      </c>
      <c r="E424" s="8">
        <v>34.0</v>
      </c>
      <c r="F424" s="8">
        <v>38.0</v>
      </c>
      <c r="G424" s="8">
        <v>44.0</v>
      </c>
      <c r="H424" s="9">
        <v>28.0</v>
      </c>
      <c r="I424" s="4">
        <v>43963.0</v>
      </c>
      <c r="J424" s="5" t="s">
        <v>843</v>
      </c>
      <c r="K424" s="10" t="s">
        <v>844</v>
      </c>
    </row>
    <row r="425">
      <c r="A425" s="7">
        <v>424.0</v>
      </c>
      <c r="B425" s="8">
        <v>7.0</v>
      </c>
      <c r="C425" s="8">
        <v>23.0</v>
      </c>
      <c r="D425" s="8">
        <v>29.0</v>
      </c>
      <c r="E425" s="8">
        <v>47.0</v>
      </c>
      <c r="F425" s="8">
        <v>51.0</v>
      </c>
      <c r="G425" s="8">
        <v>55.0</v>
      </c>
      <c r="H425" s="9">
        <v>12.0</v>
      </c>
      <c r="I425" s="4">
        <v>43965.0</v>
      </c>
      <c r="J425" s="5" t="s">
        <v>845</v>
      </c>
      <c r="K425" s="11" t="s">
        <v>846</v>
      </c>
    </row>
    <row r="426">
      <c r="A426" s="7">
        <v>425.0</v>
      </c>
      <c r="B426" s="8">
        <v>19.0</v>
      </c>
      <c r="C426" s="8">
        <v>35.0</v>
      </c>
      <c r="D426" s="8">
        <v>38.0</v>
      </c>
      <c r="E426" s="8">
        <v>49.0</v>
      </c>
      <c r="F426" s="8">
        <v>52.0</v>
      </c>
      <c r="G426" s="8">
        <v>55.0</v>
      </c>
      <c r="H426" s="9">
        <v>1.0</v>
      </c>
      <c r="I426" s="4">
        <v>43967.0</v>
      </c>
      <c r="J426" s="5" t="s">
        <v>847</v>
      </c>
      <c r="K426" s="10" t="s">
        <v>848</v>
      </c>
    </row>
    <row r="427">
      <c r="A427" s="7">
        <v>426.0</v>
      </c>
      <c r="B427" s="8">
        <v>5.0</v>
      </c>
      <c r="C427" s="8">
        <v>15.0</v>
      </c>
      <c r="D427" s="8">
        <v>16.0</v>
      </c>
      <c r="E427" s="8">
        <v>19.0</v>
      </c>
      <c r="F427" s="8">
        <v>49.0</v>
      </c>
      <c r="G427" s="8">
        <v>55.0</v>
      </c>
      <c r="H427" s="9">
        <v>3.0</v>
      </c>
      <c r="I427" s="4">
        <v>43970.0</v>
      </c>
      <c r="J427" s="5" t="s">
        <v>849</v>
      </c>
      <c r="K427" s="11" t="s">
        <v>850</v>
      </c>
    </row>
    <row r="428">
      <c r="A428" s="7">
        <v>427.0</v>
      </c>
      <c r="B428" s="8">
        <v>2.0</v>
      </c>
      <c r="C428" s="8">
        <v>15.0</v>
      </c>
      <c r="D428" s="8">
        <v>22.0</v>
      </c>
      <c r="E428" s="8">
        <v>25.0</v>
      </c>
      <c r="F428" s="8">
        <v>30.0</v>
      </c>
      <c r="G428" s="8">
        <v>46.0</v>
      </c>
      <c r="H428" s="9">
        <v>10.0</v>
      </c>
      <c r="I428" s="4">
        <v>43972.0</v>
      </c>
      <c r="J428" s="5" t="s">
        <v>851</v>
      </c>
      <c r="K428" s="10" t="s">
        <v>852</v>
      </c>
    </row>
    <row r="429">
      <c r="A429" s="7">
        <v>428.0</v>
      </c>
      <c r="B429" s="8">
        <v>4.0</v>
      </c>
      <c r="C429" s="8">
        <v>13.0</v>
      </c>
      <c r="D429" s="8">
        <v>27.0</v>
      </c>
      <c r="E429" s="8">
        <v>47.0</v>
      </c>
      <c r="F429" s="8">
        <v>50.0</v>
      </c>
      <c r="G429" s="8">
        <v>55.0</v>
      </c>
      <c r="H429" s="9">
        <v>31.0</v>
      </c>
      <c r="I429" s="4">
        <v>43974.0</v>
      </c>
      <c r="J429" s="5" t="s">
        <v>853</v>
      </c>
      <c r="K429" s="11" t="s">
        <v>854</v>
      </c>
    </row>
    <row r="430">
      <c r="A430" s="7">
        <v>429.0</v>
      </c>
      <c r="B430" s="8">
        <v>11.0</v>
      </c>
      <c r="C430" s="8">
        <v>12.0</v>
      </c>
      <c r="D430" s="8">
        <v>23.0</v>
      </c>
      <c r="E430" s="8">
        <v>24.0</v>
      </c>
      <c r="F430" s="8">
        <v>34.0</v>
      </c>
      <c r="G430" s="8">
        <v>47.0</v>
      </c>
      <c r="H430" s="9">
        <v>43.0</v>
      </c>
      <c r="I430" s="4">
        <v>43977.0</v>
      </c>
      <c r="J430" s="5" t="s">
        <v>855</v>
      </c>
      <c r="K430" s="10" t="s">
        <v>856</v>
      </c>
    </row>
    <row r="431">
      <c r="A431" s="7">
        <v>430.0</v>
      </c>
      <c r="B431" s="8">
        <v>1.0</v>
      </c>
      <c r="C431" s="8">
        <v>4.0</v>
      </c>
      <c r="D431" s="8">
        <v>8.0</v>
      </c>
      <c r="E431" s="8">
        <v>21.0</v>
      </c>
      <c r="F431" s="8">
        <v>44.0</v>
      </c>
      <c r="G431" s="8">
        <v>49.0</v>
      </c>
      <c r="H431" s="9">
        <v>52.0</v>
      </c>
      <c r="I431" s="4">
        <v>43979.0</v>
      </c>
      <c r="J431" s="5" t="s">
        <v>857</v>
      </c>
      <c r="K431" s="11" t="s">
        <v>858</v>
      </c>
    </row>
    <row r="432">
      <c r="A432" s="7">
        <v>431.0</v>
      </c>
      <c r="B432" s="8">
        <v>12.0</v>
      </c>
      <c r="C432" s="8">
        <v>13.0</v>
      </c>
      <c r="D432" s="8">
        <v>41.0</v>
      </c>
      <c r="E432" s="8">
        <v>42.0</v>
      </c>
      <c r="F432" s="8">
        <v>48.0</v>
      </c>
      <c r="G432" s="8">
        <v>53.0</v>
      </c>
      <c r="H432" s="9">
        <v>20.0</v>
      </c>
      <c r="I432" s="4">
        <v>43981.0</v>
      </c>
      <c r="J432" s="5" t="s">
        <v>859</v>
      </c>
      <c r="K432" s="10" t="s">
        <v>860</v>
      </c>
    </row>
    <row r="433">
      <c r="A433" s="7">
        <v>432.0</v>
      </c>
      <c r="B433" s="8">
        <v>4.0</v>
      </c>
      <c r="C433" s="8">
        <v>19.0</v>
      </c>
      <c r="D433" s="8">
        <v>31.0</v>
      </c>
      <c r="E433" s="8">
        <v>42.0</v>
      </c>
      <c r="F433" s="8">
        <v>48.0</v>
      </c>
      <c r="G433" s="8">
        <v>55.0</v>
      </c>
      <c r="H433" s="9">
        <v>22.0</v>
      </c>
      <c r="I433" s="4">
        <v>43984.0</v>
      </c>
      <c r="J433" s="5" t="s">
        <v>861</v>
      </c>
      <c r="K433" s="11" t="s">
        <v>862</v>
      </c>
    </row>
    <row r="434">
      <c r="A434" s="7">
        <v>433.0</v>
      </c>
      <c r="B434" s="8">
        <v>6.0</v>
      </c>
      <c r="C434" s="8">
        <v>12.0</v>
      </c>
      <c r="D434" s="8">
        <v>16.0</v>
      </c>
      <c r="E434" s="8">
        <v>34.0</v>
      </c>
      <c r="F434" s="8">
        <v>39.0</v>
      </c>
      <c r="G434" s="8">
        <v>54.0</v>
      </c>
      <c r="H434" s="9">
        <v>19.0</v>
      </c>
      <c r="I434" s="4">
        <v>43986.0</v>
      </c>
      <c r="J434" s="5" t="s">
        <v>863</v>
      </c>
      <c r="K434" s="10" t="s">
        <v>864</v>
      </c>
    </row>
    <row r="435">
      <c r="A435" s="7">
        <v>434.0</v>
      </c>
      <c r="B435" s="8">
        <v>8.0</v>
      </c>
      <c r="C435" s="8">
        <v>12.0</v>
      </c>
      <c r="D435" s="8">
        <v>24.0</v>
      </c>
      <c r="E435" s="8">
        <v>32.0</v>
      </c>
      <c r="F435" s="8">
        <v>35.0</v>
      </c>
      <c r="G435" s="8">
        <v>51.0</v>
      </c>
      <c r="H435" s="9">
        <v>21.0</v>
      </c>
      <c r="I435" s="4">
        <v>43988.0</v>
      </c>
      <c r="J435" s="5" t="s">
        <v>865</v>
      </c>
      <c r="K435" s="13" t="s">
        <v>866</v>
      </c>
    </row>
    <row r="436">
      <c r="A436" s="7">
        <v>435.0</v>
      </c>
      <c r="B436" s="8">
        <v>1.0</v>
      </c>
      <c r="C436" s="8">
        <v>3.0</v>
      </c>
      <c r="D436" s="8">
        <v>8.0</v>
      </c>
      <c r="E436" s="8">
        <v>22.0</v>
      </c>
      <c r="F436" s="8">
        <v>42.0</v>
      </c>
      <c r="G436" s="8">
        <v>48.0</v>
      </c>
      <c r="H436" s="9">
        <v>44.0</v>
      </c>
      <c r="I436" s="4">
        <v>43991.0</v>
      </c>
      <c r="J436" s="5" t="s">
        <v>867</v>
      </c>
      <c r="K436" s="10" t="s">
        <v>868</v>
      </c>
    </row>
    <row r="437">
      <c r="A437" s="7">
        <v>436.0</v>
      </c>
      <c r="B437" s="8">
        <v>3.0</v>
      </c>
      <c r="C437" s="8">
        <v>21.0</v>
      </c>
      <c r="D437" s="8">
        <v>25.0</v>
      </c>
      <c r="E437" s="8">
        <v>32.0</v>
      </c>
      <c r="F437" s="8">
        <v>35.0</v>
      </c>
      <c r="G437" s="8">
        <v>52.0</v>
      </c>
      <c r="H437" s="9">
        <v>34.0</v>
      </c>
      <c r="I437" s="4">
        <v>43993.0</v>
      </c>
      <c r="J437" s="5" t="s">
        <v>869</v>
      </c>
      <c r="K437" s="11" t="s">
        <v>870</v>
      </c>
    </row>
    <row r="438">
      <c r="A438" s="7">
        <v>437.0</v>
      </c>
      <c r="B438" s="8">
        <v>7.0</v>
      </c>
      <c r="C438" s="8">
        <v>9.0</v>
      </c>
      <c r="D438" s="8">
        <v>11.0</v>
      </c>
      <c r="E438" s="8">
        <v>30.0</v>
      </c>
      <c r="F438" s="8">
        <v>43.0</v>
      </c>
      <c r="G438" s="8">
        <v>53.0</v>
      </c>
      <c r="H438" s="9">
        <v>10.0</v>
      </c>
      <c r="I438" s="4">
        <v>43995.0</v>
      </c>
      <c r="J438" s="5" t="s">
        <v>871</v>
      </c>
      <c r="K438" s="10" t="s">
        <v>872</v>
      </c>
    </row>
    <row r="439">
      <c r="A439" s="7">
        <v>438.0</v>
      </c>
      <c r="B439" s="8">
        <v>2.0</v>
      </c>
      <c r="C439" s="8">
        <v>15.0</v>
      </c>
      <c r="D439" s="8">
        <v>16.0</v>
      </c>
      <c r="E439" s="8">
        <v>23.0</v>
      </c>
      <c r="F439" s="8">
        <v>33.0</v>
      </c>
      <c r="G439" s="8">
        <v>54.0</v>
      </c>
      <c r="H439" s="9">
        <v>45.0</v>
      </c>
      <c r="I439" s="4">
        <v>43998.0</v>
      </c>
      <c r="J439" s="5" t="s">
        <v>873</v>
      </c>
      <c r="K439" s="13" t="s">
        <v>874</v>
      </c>
    </row>
    <row r="440">
      <c r="A440" s="7">
        <v>439.0</v>
      </c>
      <c r="B440" s="8">
        <v>5.0</v>
      </c>
      <c r="C440" s="8">
        <v>18.0</v>
      </c>
      <c r="D440" s="8">
        <v>27.0</v>
      </c>
      <c r="E440" s="8">
        <v>45.0</v>
      </c>
      <c r="F440" s="8">
        <v>50.0</v>
      </c>
      <c r="G440" s="8">
        <v>54.0</v>
      </c>
      <c r="H440" s="9">
        <v>9.0</v>
      </c>
      <c r="I440" s="4">
        <v>44000.0</v>
      </c>
      <c r="J440" s="5" t="s">
        <v>875</v>
      </c>
      <c r="K440" s="12" t="s">
        <v>876</v>
      </c>
    </row>
    <row r="441">
      <c r="A441" s="7">
        <v>440.0</v>
      </c>
      <c r="B441" s="8">
        <v>5.0</v>
      </c>
      <c r="C441" s="8">
        <v>9.0</v>
      </c>
      <c r="D441" s="8">
        <v>33.0</v>
      </c>
      <c r="E441" s="8">
        <v>43.0</v>
      </c>
      <c r="F441" s="8">
        <v>44.0</v>
      </c>
      <c r="G441" s="8">
        <v>50.0</v>
      </c>
      <c r="H441" s="9">
        <v>46.0</v>
      </c>
      <c r="I441" s="4">
        <v>44002.0</v>
      </c>
      <c r="J441" s="5" t="s">
        <v>877</v>
      </c>
      <c r="K441" s="11" t="s">
        <v>878</v>
      </c>
    </row>
    <row r="442">
      <c r="A442" s="7">
        <v>441.0</v>
      </c>
      <c r="B442" s="8">
        <v>2.0</v>
      </c>
      <c r="C442" s="8">
        <v>18.0</v>
      </c>
      <c r="D442" s="8">
        <v>28.0</v>
      </c>
      <c r="E442" s="8">
        <v>46.0</v>
      </c>
      <c r="F442" s="8">
        <v>52.0</v>
      </c>
      <c r="G442" s="8">
        <v>54.0</v>
      </c>
      <c r="H442" s="9">
        <v>19.0</v>
      </c>
      <c r="I442" s="4">
        <v>44005.0</v>
      </c>
      <c r="J442" s="5" t="s">
        <v>879</v>
      </c>
      <c r="K442" s="10" t="s">
        <v>880</v>
      </c>
    </row>
    <row r="443">
      <c r="A443" s="7">
        <v>442.0</v>
      </c>
      <c r="B443" s="8">
        <v>9.0</v>
      </c>
      <c r="C443" s="8">
        <v>10.0</v>
      </c>
      <c r="D443" s="8">
        <v>12.0</v>
      </c>
      <c r="E443" s="8">
        <v>19.0</v>
      </c>
      <c r="F443" s="8">
        <v>27.0</v>
      </c>
      <c r="G443" s="8">
        <v>40.0</v>
      </c>
      <c r="H443" s="9">
        <v>55.0</v>
      </c>
      <c r="I443" s="4">
        <v>44007.0</v>
      </c>
      <c r="J443" s="5" t="s">
        <v>881</v>
      </c>
      <c r="K443" s="13" t="s">
        <v>882</v>
      </c>
    </row>
    <row r="444">
      <c r="A444" s="7">
        <v>443.0</v>
      </c>
      <c r="B444" s="8">
        <v>2.0</v>
      </c>
      <c r="C444" s="8">
        <v>6.0</v>
      </c>
      <c r="D444" s="8">
        <v>38.0</v>
      </c>
      <c r="E444" s="8">
        <v>47.0</v>
      </c>
      <c r="F444" s="8">
        <v>50.0</v>
      </c>
      <c r="G444" s="8">
        <v>53.0</v>
      </c>
      <c r="H444" s="9">
        <v>14.0</v>
      </c>
      <c r="I444" s="4">
        <v>44009.0</v>
      </c>
      <c r="J444" s="5" t="s">
        <v>883</v>
      </c>
      <c r="K444" s="10" t="s">
        <v>884</v>
      </c>
    </row>
    <row r="445">
      <c r="A445" s="7">
        <v>444.0</v>
      </c>
      <c r="B445" s="8">
        <v>5.0</v>
      </c>
      <c r="C445" s="8">
        <v>11.0</v>
      </c>
      <c r="D445" s="8">
        <v>18.0</v>
      </c>
      <c r="E445" s="8">
        <v>19.0</v>
      </c>
      <c r="F445" s="8">
        <v>20.0</v>
      </c>
      <c r="G445" s="8">
        <v>21.0</v>
      </c>
      <c r="H445" s="9">
        <v>52.0</v>
      </c>
      <c r="I445" s="4">
        <v>44012.0</v>
      </c>
      <c r="J445" s="5" t="s">
        <v>885</v>
      </c>
      <c r="K445" s="11" t="s">
        <v>886</v>
      </c>
    </row>
    <row r="446">
      <c r="A446" s="7">
        <v>445.0</v>
      </c>
      <c r="B446" s="8">
        <v>4.0</v>
      </c>
      <c r="C446" s="8">
        <v>10.0</v>
      </c>
      <c r="D446" s="8">
        <v>20.0</v>
      </c>
      <c r="E446" s="8">
        <v>38.0</v>
      </c>
      <c r="F446" s="8">
        <v>48.0</v>
      </c>
      <c r="G446" s="8">
        <v>53.0</v>
      </c>
      <c r="H446" s="9">
        <v>5.0</v>
      </c>
      <c r="I446" s="4">
        <v>44014.0</v>
      </c>
      <c r="J446" s="5" t="s">
        <v>887</v>
      </c>
      <c r="K446" s="10" t="s">
        <v>888</v>
      </c>
    </row>
    <row r="447">
      <c r="A447" s="7">
        <v>446.0</v>
      </c>
      <c r="B447" s="8">
        <v>3.0</v>
      </c>
      <c r="C447" s="8">
        <v>9.0</v>
      </c>
      <c r="D447" s="8">
        <v>10.0</v>
      </c>
      <c r="E447" s="8">
        <v>18.0</v>
      </c>
      <c r="F447" s="8">
        <v>29.0</v>
      </c>
      <c r="G447" s="8">
        <v>45.0</v>
      </c>
      <c r="H447" s="9">
        <v>36.0</v>
      </c>
      <c r="I447" s="4">
        <v>44016.0</v>
      </c>
      <c r="J447" s="5" t="s">
        <v>889</v>
      </c>
      <c r="K447" s="13" t="s">
        <v>890</v>
      </c>
    </row>
    <row r="448">
      <c r="A448" s="7">
        <v>447.0</v>
      </c>
      <c r="B448" s="8">
        <v>7.0</v>
      </c>
      <c r="C448" s="8">
        <v>24.0</v>
      </c>
      <c r="D448" s="8">
        <v>32.0</v>
      </c>
      <c r="E448" s="8">
        <v>35.0</v>
      </c>
      <c r="F448" s="8">
        <v>48.0</v>
      </c>
      <c r="G448" s="8">
        <v>50.0</v>
      </c>
      <c r="H448" s="9">
        <v>1.0</v>
      </c>
      <c r="I448" s="4">
        <v>44019.0</v>
      </c>
      <c r="J448" s="5" t="s">
        <v>891</v>
      </c>
      <c r="K448" s="10" t="s">
        <v>892</v>
      </c>
    </row>
    <row r="449">
      <c r="A449" s="7">
        <v>448.0</v>
      </c>
      <c r="B449" s="8">
        <v>3.0</v>
      </c>
      <c r="C449" s="8">
        <v>10.0</v>
      </c>
      <c r="D449" s="8">
        <v>11.0</v>
      </c>
      <c r="E449" s="8">
        <v>17.0</v>
      </c>
      <c r="F449" s="8">
        <v>26.0</v>
      </c>
      <c r="G449" s="8">
        <v>54.0</v>
      </c>
      <c r="H449" s="9">
        <v>21.0</v>
      </c>
      <c r="I449" s="4">
        <v>44021.0</v>
      </c>
      <c r="J449" s="5" t="s">
        <v>893</v>
      </c>
      <c r="K449" s="13" t="s">
        <v>894</v>
      </c>
    </row>
    <row r="450">
      <c r="A450" s="7">
        <v>449.0</v>
      </c>
      <c r="B450" s="8">
        <v>3.0</v>
      </c>
      <c r="C450" s="8">
        <v>4.0</v>
      </c>
      <c r="D450" s="8">
        <v>6.0</v>
      </c>
      <c r="E450" s="8">
        <v>14.0</v>
      </c>
      <c r="F450" s="8">
        <v>20.0</v>
      </c>
      <c r="G450" s="8">
        <v>38.0</v>
      </c>
      <c r="H450" s="9">
        <v>35.0</v>
      </c>
      <c r="I450" s="4">
        <v>44023.0</v>
      </c>
      <c r="J450" s="5" t="s">
        <v>895</v>
      </c>
      <c r="K450" s="10" t="s">
        <v>896</v>
      </c>
    </row>
    <row r="451">
      <c r="A451" s="7">
        <v>450.0</v>
      </c>
      <c r="B451" s="8">
        <v>5.0</v>
      </c>
      <c r="C451" s="8">
        <v>22.0</v>
      </c>
      <c r="D451" s="8">
        <v>32.0</v>
      </c>
      <c r="E451" s="8">
        <v>34.0</v>
      </c>
      <c r="F451" s="8">
        <v>43.0</v>
      </c>
      <c r="G451" s="8">
        <v>51.0</v>
      </c>
      <c r="H451" s="9">
        <v>12.0</v>
      </c>
      <c r="I451" s="4">
        <v>44026.0</v>
      </c>
      <c r="J451" s="5" t="s">
        <v>897</v>
      </c>
      <c r="K451" s="11" t="s">
        <v>898</v>
      </c>
    </row>
    <row r="452">
      <c r="A452" s="7">
        <v>451.0</v>
      </c>
      <c r="B452" s="8">
        <v>2.0</v>
      </c>
      <c r="C452" s="8">
        <v>5.0</v>
      </c>
      <c r="D452" s="8">
        <v>11.0</v>
      </c>
      <c r="E452" s="8">
        <v>20.0</v>
      </c>
      <c r="F452" s="8">
        <v>24.0</v>
      </c>
      <c r="G452" s="8">
        <v>32.0</v>
      </c>
      <c r="H452" s="9">
        <v>6.0</v>
      </c>
      <c r="I452" s="4">
        <v>44028.0</v>
      </c>
      <c r="J452" s="5" t="s">
        <v>899</v>
      </c>
      <c r="K452" s="10" t="s">
        <v>900</v>
      </c>
    </row>
    <row r="453">
      <c r="A453" s="7">
        <v>452.0</v>
      </c>
      <c r="B453" s="8">
        <v>3.0</v>
      </c>
      <c r="C453" s="8">
        <v>13.0</v>
      </c>
      <c r="D453" s="8">
        <v>22.0</v>
      </c>
      <c r="E453" s="8">
        <v>28.0</v>
      </c>
      <c r="F453" s="8">
        <v>30.0</v>
      </c>
      <c r="G453" s="8">
        <v>53.0</v>
      </c>
      <c r="H453" s="9">
        <v>16.0</v>
      </c>
      <c r="I453" s="4">
        <v>44030.0</v>
      </c>
      <c r="J453" s="5" t="s">
        <v>901</v>
      </c>
      <c r="K453" s="11" t="s">
        <v>902</v>
      </c>
    </row>
    <row r="454">
      <c r="A454" s="7">
        <v>453.0</v>
      </c>
      <c r="B454" s="8">
        <v>6.0</v>
      </c>
      <c r="C454" s="8">
        <v>14.0</v>
      </c>
      <c r="D454" s="8">
        <v>31.0</v>
      </c>
      <c r="E454" s="8">
        <v>37.0</v>
      </c>
      <c r="F454" s="8">
        <v>38.0</v>
      </c>
      <c r="G454" s="8">
        <v>44.0</v>
      </c>
      <c r="H454" s="9">
        <v>4.0</v>
      </c>
      <c r="I454" s="4">
        <v>44033.0</v>
      </c>
      <c r="J454" s="5" t="s">
        <v>903</v>
      </c>
      <c r="K454" s="10" t="s">
        <v>904</v>
      </c>
    </row>
    <row r="455">
      <c r="A455" s="7">
        <v>454.0</v>
      </c>
      <c r="B455" s="8">
        <v>4.0</v>
      </c>
      <c r="C455" s="8">
        <v>12.0</v>
      </c>
      <c r="D455" s="8">
        <v>31.0</v>
      </c>
      <c r="E455" s="8">
        <v>47.0</v>
      </c>
      <c r="F455" s="8">
        <v>49.0</v>
      </c>
      <c r="G455" s="8">
        <v>52.0</v>
      </c>
      <c r="H455" s="9">
        <v>2.0</v>
      </c>
      <c r="I455" s="4">
        <v>44035.0</v>
      </c>
      <c r="J455" s="5" t="s">
        <v>905</v>
      </c>
      <c r="K455" s="11" t="s">
        <v>906</v>
      </c>
    </row>
    <row r="456">
      <c r="A456" s="7">
        <v>455.0</v>
      </c>
      <c r="B456" s="8">
        <v>2.0</v>
      </c>
      <c r="C456" s="8">
        <v>19.0</v>
      </c>
      <c r="D456" s="8">
        <v>21.0</v>
      </c>
      <c r="E456" s="8">
        <v>34.0</v>
      </c>
      <c r="F456" s="8">
        <v>54.0</v>
      </c>
      <c r="G456" s="8">
        <v>55.0</v>
      </c>
      <c r="H456" s="9">
        <v>24.0</v>
      </c>
      <c r="I456" s="4">
        <v>44037.0</v>
      </c>
      <c r="J456" s="5" t="s">
        <v>907</v>
      </c>
      <c r="K456" s="10" t="s">
        <v>908</v>
      </c>
    </row>
    <row r="457">
      <c r="A457" s="7">
        <v>456.0</v>
      </c>
      <c r="B457" s="8">
        <v>3.0</v>
      </c>
      <c r="C457" s="8">
        <v>11.0</v>
      </c>
      <c r="D457" s="8">
        <v>20.0</v>
      </c>
      <c r="E457" s="8">
        <v>34.0</v>
      </c>
      <c r="F457" s="8">
        <v>44.0</v>
      </c>
      <c r="G457" s="8">
        <v>54.0</v>
      </c>
      <c r="H457" s="9">
        <v>16.0</v>
      </c>
      <c r="I457" s="4">
        <v>44040.0</v>
      </c>
      <c r="J457" s="5" t="s">
        <v>909</v>
      </c>
      <c r="K457" s="13" t="s">
        <v>910</v>
      </c>
    </row>
    <row r="458">
      <c r="A458" s="7">
        <v>457.0</v>
      </c>
      <c r="B458" s="8">
        <v>6.0</v>
      </c>
      <c r="C458" s="8">
        <v>7.0</v>
      </c>
      <c r="D458" s="8">
        <v>16.0</v>
      </c>
      <c r="E458" s="8">
        <v>26.0</v>
      </c>
      <c r="F458" s="8">
        <v>29.0</v>
      </c>
      <c r="G458" s="8">
        <v>54.0</v>
      </c>
      <c r="H458" s="9">
        <v>4.0</v>
      </c>
      <c r="I458" s="4">
        <v>44042.0</v>
      </c>
      <c r="J458" s="5" t="s">
        <v>911</v>
      </c>
      <c r="K458" s="10" t="s">
        <v>912</v>
      </c>
    </row>
    <row r="459">
      <c r="A459" s="7">
        <v>458.0</v>
      </c>
      <c r="B459" s="8">
        <v>13.0</v>
      </c>
      <c r="C459" s="8">
        <v>18.0</v>
      </c>
      <c r="D459" s="8">
        <v>29.0</v>
      </c>
      <c r="E459" s="8">
        <v>30.0</v>
      </c>
      <c r="F459" s="8">
        <v>40.0</v>
      </c>
      <c r="G459" s="8">
        <v>47.0</v>
      </c>
      <c r="H459" s="9">
        <v>4.0</v>
      </c>
      <c r="I459" s="4">
        <v>44044.0</v>
      </c>
      <c r="J459" s="5" t="s">
        <v>913</v>
      </c>
      <c r="K459" s="11" t="s">
        <v>914</v>
      </c>
    </row>
    <row r="460">
      <c r="A460" s="7">
        <v>459.0</v>
      </c>
      <c r="B460" s="8">
        <v>10.0</v>
      </c>
      <c r="C460" s="8">
        <v>15.0</v>
      </c>
      <c r="D460" s="8">
        <v>20.0</v>
      </c>
      <c r="E460" s="8">
        <v>21.0</v>
      </c>
      <c r="F460" s="8">
        <v>32.0</v>
      </c>
      <c r="G460" s="8">
        <v>51.0</v>
      </c>
      <c r="H460" s="9">
        <v>8.0</v>
      </c>
      <c r="I460" s="4">
        <v>44047.0</v>
      </c>
      <c r="J460" s="5" t="s">
        <v>915</v>
      </c>
      <c r="K460" s="10" t="s">
        <v>916</v>
      </c>
    </row>
    <row r="461">
      <c r="A461" s="7">
        <v>460.0</v>
      </c>
      <c r="B461" s="8">
        <v>2.0</v>
      </c>
      <c r="C461" s="8">
        <v>5.0</v>
      </c>
      <c r="D461" s="8">
        <v>21.0</v>
      </c>
      <c r="E461" s="8">
        <v>24.0</v>
      </c>
      <c r="F461" s="8">
        <v>26.0</v>
      </c>
      <c r="G461" s="8">
        <v>27.0</v>
      </c>
      <c r="H461" s="9">
        <v>11.0</v>
      </c>
      <c r="I461" s="4">
        <v>44049.0</v>
      </c>
      <c r="J461" s="5" t="s">
        <v>917</v>
      </c>
      <c r="K461" s="11" t="s">
        <v>918</v>
      </c>
    </row>
    <row r="462">
      <c r="A462" s="7">
        <v>461.0</v>
      </c>
      <c r="B462" s="8">
        <v>3.0</v>
      </c>
      <c r="C462" s="8">
        <v>12.0</v>
      </c>
      <c r="D462" s="8">
        <v>24.0</v>
      </c>
      <c r="E462" s="8">
        <v>26.0</v>
      </c>
      <c r="F462" s="8">
        <v>36.0</v>
      </c>
      <c r="G462" s="8">
        <v>43.0</v>
      </c>
      <c r="H462" s="9">
        <v>8.0</v>
      </c>
      <c r="I462" s="4">
        <v>44051.0</v>
      </c>
      <c r="J462" s="5" t="s">
        <v>919</v>
      </c>
      <c r="K462" s="12" t="s">
        <v>920</v>
      </c>
    </row>
    <row r="463">
      <c r="A463" s="7">
        <v>462.0</v>
      </c>
      <c r="B463" s="8">
        <v>2.0</v>
      </c>
      <c r="C463" s="8">
        <v>12.0</v>
      </c>
      <c r="D463" s="8">
        <v>33.0</v>
      </c>
      <c r="E463" s="8">
        <v>39.0</v>
      </c>
      <c r="F463" s="8">
        <v>52.0</v>
      </c>
      <c r="G463" s="8">
        <v>53.0</v>
      </c>
      <c r="H463" s="9">
        <v>44.0</v>
      </c>
      <c r="I463" s="4">
        <v>44054.0</v>
      </c>
      <c r="J463" s="5" t="s">
        <v>921</v>
      </c>
      <c r="K463" s="11" t="s">
        <v>922</v>
      </c>
    </row>
    <row r="464">
      <c r="A464" s="7">
        <v>463.0</v>
      </c>
      <c r="B464" s="8">
        <v>3.0</v>
      </c>
      <c r="C464" s="8">
        <v>25.0</v>
      </c>
      <c r="D464" s="8">
        <v>28.0</v>
      </c>
      <c r="E464" s="8">
        <v>44.0</v>
      </c>
      <c r="F464" s="8">
        <v>49.0</v>
      </c>
      <c r="G464" s="8">
        <v>54.0</v>
      </c>
      <c r="H464" s="9">
        <v>19.0</v>
      </c>
      <c r="I464" s="4">
        <v>44056.0</v>
      </c>
      <c r="J464" s="5" t="s">
        <v>923</v>
      </c>
      <c r="K464" s="10" t="s">
        <v>924</v>
      </c>
    </row>
    <row r="465">
      <c r="A465" s="7">
        <v>464.0</v>
      </c>
      <c r="B465" s="8">
        <v>1.0</v>
      </c>
      <c r="C465" s="8">
        <v>11.0</v>
      </c>
      <c r="D465" s="8">
        <v>29.0</v>
      </c>
      <c r="E465" s="8">
        <v>30.0</v>
      </c>
      <c r="F465" s="8">
        <v>41.0</v>
      </c>
      <c r="G465" s="8">
        <v>51.0</v>
      </c>
      <c r="H465" s="9">
        <v>4.0</v>
      </c>
      <c r="I465" s="4">
        <v>44058.0</v>
      </c>
      <c r="J465" s="5" t="s">
        <v>925</v>
      </c>
      <c r="K465" s="11" t="s">
        <v>926</v>
      </c>
    </row>
    <row r="466">
      <c r="A466" s="7">
        <v>465.0</v>
      </c>
      <c r="B466" s="8">
        <v>22.0</v>
      </c>
      <c r="C466" s="8">
        <v>41.0</v>
      </c>
      <c r="D466" s="8">
        <v>44.0</v>
      </c>
      <c r="E466" s="8">
        <v>46.0</v>
      </c>
      <c r="F466" s="8">
        <v>51.0</v>
      </c>
      <c r="G466" s="8">
        <v>52.0</v>
      </c>
      <c r="H466" s="9">
        <v>2.0</v>
      </c>
      <c r="I466" s="4">
        <v>44061.0</v>
      </c>
      <c r="J466" s="5" t="s">
        <v>927</v>
      </c>
      <c r="K466" s="10" t="s">
        <v>928</v>
      </c>
    </row>
    <row r="467">
      <c r="A467" s="7">
        <v>466.0</v>
      </c>
      <c r="B467" s="8">
        <v>14.0</v>
      </c>
      <c r="C467" s="8">
        <v>18.0</v>
      </c>
      <c r="D467" s="8">
        <v>28.0</v>
      </c>
      <c r="E467" s="8">
        <v>32.0</v>
      </c>
      <c r="F467" s="8">
        <v>33.0</v>
      </c>
      <c r="G467" s="8">
        <v>36.0</v>
      </c>
      <c r="H467" s="9">
        <v>41.0</v>
      </c>
      <c r="I467" s="4">
        <v>44063.0</v>
      </c>
      <c r="J467" s="5" t="s">
        <v>929</v>
      </c>
      <c r="K467" s="11" t="s">
        <v>930</v>
      </c>
    </row>
    <row r="468">
      <c r="A468" s="7">
        <v>467.0</v>
      </c>
      <c r="B468" s="8">
        <v>1.0</v>
      </c>
      <c r="C468" s="8">
        <v>20.0</v>
      </c>
      <c r="D468" s="8">
        <v>24.0</v>
      </c>
      <c r="E468" s="8">
        <v>26.0</v>
      </c>
      <c r="F468" s="8">
        <v>35.0</v>
      </c>
      <c r="G468" s="8">
        <v>51.0</v>
      </c>
      <c r="H468" s="9">
        <v>12.0</v>
      </c>
      <c r="I468" s="4">
        <v>44065.0</v>
      </c>
      <c r="J468" s="5" t="s">
        <v>931</v>
      </c>
      <c r="K468" s="10" t="s">
        <v>932</v>
      </c>
    </row>
    <row r="469">
      <c r="A469" s="7">
        <v>468.0</v>
      </c>
      <c r="B469" s="8">
        <v>21.0</v>
      </c>
      <c r="C469" s="8">
        <v>35.0</v>
      </c>
      <c r="D469" s="8">
        <v>36.0</v>
      </c>
      <c r="E469" s="8">
        <v>38.0</v>
      </c>
      <c r="F469" s="8">
        <v>44.0</v>
      </c>
      <c r="G469" s="8">
        <v>47.0</v>
      </c>
      <c r="H469" s="9">
        <v>14.0</v>
      </c>
      <c r="I469" s="4">
        <v>44068.0</v>
      </c>
      <c r="J469" s="5" t="s">
        <v>933</v>
      </c>
      <c r="K469" s="11" t="s">
        <v>934</v>
      </c>
    </row>
    <row r="470">
      <c r="A470" s="7">
        <v>469.0</v>
      </c>
      <c r="B470" s="8">
        <v>1.0</v>
      </c>
      <c r="C470" s="8">
        <v>4.0</v>
      </c>
      <c r="D470" s="8">
        <v>14.0</v>
      </c>
      <c r="E470" s="8">
        <v>28.0</v>
      </c>
      <c r="F470" s="8">
        <v>35.0</v>
      </c>
      <c r="G470" s="8">
        <v>53.0</v>
      </c>
      <c r="H470" s="9">
        <v>2.0</v>
      </c>
      <c r="I470" s="4">
        <v>44072.0</v>
      </c>
      <c r="J470" s="5" t="s">
        <v>935</v>
      </c>
      <c r="K470" s="12" t="s">
        <v>936</v>
      </c>
    </row>
    <row r="471">
      <c r="A471" s="7">
        <v>470.0</v>
      </c>
      <c r="B471" s="8">
        <v>11.0</v>
      </c>
      <c r="C471" s="8">
        <v>22.0</v>
      </c>
      <c r="D471" s="8">
        <v>24.0</v>
      </c>
      <c r="E471" s="8">
        <v>47.0</v>
      </c>
      <c r="F471" s="8">
        <v>49.0</v>
      </c>
      <c r="G471" s="8">
        <v>53.0</v>
      </c>
      <c r="H471" s="9">
        <v>3.0</v>
      </c>
      <c r="I471" s="4">
        <v>44075.0</v>
      </c>
      <c r="J471" s="5" t="s">
        <v>937</v>
      </c>
      <c r="K471" s="11" t="s">
        <v>938</v>
      </c>
    </row>
    <row r="472">
      <c r="A472" s="7">
        <v>471.0</v>
      </c>
      <c r="B472" s="8">
        <v>7.0</v>
      </c>
      <c r="C472" s="8">
        <v>9.0</v>
      </c>
      <c r="D472" s="8">
        <v>18.0</v>
      </c>
      <c r="E472" s="8">
        <v>22.0</v>
      </c>
      <c r="F472" s="8">
        <v>35.0</v>
      </c>
      <c r="G472" s="8">
        <v>54.0</v>
      </c>
      <c r="H472" s="9">
        <v>50.0</v>
      </c>
      <c r="I472" s="4">
        <v>44077.0</v>
      </c>
      <c r="J472" s="5" t="s">
        <v>939</v>
      </c>
      <c r="K472" s="10" t="s">
        <v>940</v>
      </c>
    </row>
    <row r="473">
      <c r="A473" s="7">
        <v>472.0</v>
      </c>
      <c r="B473" s="8">
        <v>9.0</v>
      </c>
      <c r="C473" s="8">
        <v>12.0</v>
      </c>
      <c r="D473" s="8">
        <v>19.0</v>
      </c>
      <c r="E473" s="8">
        <v>22.0</v>
      </c>
      <c r="F473" s="8">
        <v>31.0</v>
      </c>
      <c r="G473" s="8">
        <v>46.0</v>
      </c>
      <c r="H473" s="9">
        <v>20.0</v>
      </c>
      <c r="I473" s="4">
        <v>44079.0</v>
      </c>
      <c r="J473" s="5" t="s">
        <v>941</v>
      </c>
      <c r="K473" s="11" t="s">
        <v>942</v>
      </c>
    </row>
    <row r="474">
      <c r="A474" s="7">
        <v>473.0</v>
      </c>
      <c r="B474" s="8">
        <v>22.0</v>
      </c>
      <c r="C474" s="8">
        <v>47.0</v>
      </c>
      <c r="D474" s="8">
        <v>48.0</v>
      </c>
      <c r="E474" s="8">
        <v>52.0</v>
      </c>
      <c r="F474" s="8">
        <v>53.0</v>
      </c>
      <c r="G474" s="8">
        <v>55.0</v>
      </c>
      <c r="H474" s="9">
        <v>14.0</v>
      </c>
      <c r="I474" s="4">
        <v>44082.0</v>
      </c>
      <c r="J474" s="5" t="s">
        <v>943</v>
      </c>
      <c r="K474" s="12" t="s">
        <v>944</v>
      </c>
    </row>
    <row r="475">
      <c r="A475" s="7">
        <v>474.0</v>
      </c>
      <c r="B475" s="8">
        <v>18.0</v>
      </c>
      <c r="C475" s="8">
        <v>25.0</v>
      </c>
      <c r="D475" s="8">
        <v>27.0</v>
      </c>
      <c r="E475" s="8">
        <v>37.0</v>
      </c>
      <c r="F475" s="8">
        <v>45.0</v>
      </c>
      <c r="G475" s="8">
        <v>50.0</v>
      </c>
      <c r="H475" s="9">
        <v>52.0</v>
      </c>
      <c r="I475" s="4">
        <v>44084.0</v>
      </c>
      <c r="J475" s="5" t="s">
        <v>945</v>
      </c>
      <c r="K475" s="11" t="s">
        <v>946</v>
      </c>
    </row>
    <row r="476">
      <c r="A476" s="7">
        <v>475.0</v>
      </c>
      <c r="B476" s="8">
        <v>20.0</v>
      </c>
      <c r="C476" s="8">
        <v>21.0</v>
      </c>
      <c r="D476" s="8">
        <v>24.0</v>
      </c>
      <c r="E476" s="8">
        <v>30.0</v>
      </c>
      <c r="F476" s="8">
        <v>31.0</v>
      </c>
      <c r="G476" s="8">
        <v>44.0</v>
      </c>
      <c r="H476" s="9">
        <v>40.0</v>
      </c>
      <c r="I476" s="4">
        <v>44086.0</v>
      </c>
      <c r="J476" s="5" t="s">
        <v>947</v>
      </c>
      <c r="K476" s="12" t="s">
        <v>948</v>
      </c>
    </row>
    <row r="477">
      <c r="A477" s="7">
        <v>476.0</v>
      </c>
      <c r="B477" s="8">
        <v>13.0</v>
      </c>
      <c r="C477" s="8">
        <v>14.0</v>
      </c>
      <c r="D477" s="8">
        <v>15.0</v>
      </c>
      <c r="E477" s="8">
        <v>17.0</v>
      </c>
      <c r="F477" s="8">
        <v>26.0</v>
      </c>
      <c r="G477" s="8">
        <v>53.0</v>
      </c>
      <c r="H477" s="9">
        <v>21.0</v>
      </c>
      <c r="I477" s="4">
        <v>44089.0</v>
      </c>
      <c r="J477" s="5" t="s">
        <v>949</v>
      </c>
      <c r="K477" s="11" t="s">
        <v>950</v>
      </c>
    </row>
    <row r="478">
      <c r="A478" s="7">
        <v>477.0</v>
      </c>
      <c r="B478" s="8">
        <v>1.0</v>
      </c>
      <c r="C478" s="8">
        <v>5.0</v>
      </c>
      <c r="D478" s="8">
        <v>28.0</v>
      </c>
      <c r="E478" s="8">
        <v>43.0</v>
      </c>
      <c r="F478" s="8">
        <v>44.0</v>
      </c>
      <c r="G478" s="8">
        <v>53.0</v>
      </c>
      <c r="H478" s="9">
        <v>49.0</v>
      </c>
      <c r="I478" s="4">
        <v>44091.0</v>
      </c>
      <c r="J478" s="5" t="s">
        <v>951</v>
      </c>
      <c r="K478" s="10" t="s">
        <v>952</v>
      </c>
    </row>
    <row r="479">
      <c r="A479" s="7">
        <v>478.0</v>
      </c>
      <c r="B479" s="8">
        <v>4.0</v>
      </c>
      <c r="C479" s="8">
        <v>7.0</v>
      </c>
      <c r="D479" s="8">
        <v>8.0</v>
      </c>
      <c r="E479" s="8">
        <v>29.0</v>
      </c>
      <c r="F479" s="8">
        <v>31.0</v>
      </c>
      <c r="G479" s="8">
        <v>41.0</v>
      </c>
      <c r="H479" s="9">
        <v>38.0</v>
      </c>
      <c r="I479" s="4">
        <v>44093.0</v>
      </c>
      <c r="J479" s="5" t="s">
        <v>953</v>
      </c>
      <c r="K479" s="13" t="s">
        <v>954</v>
      </c>
    </row>
    <row r="480">
      <c r="A480" s="7">
        <v>479.0</v>
      </c>
      <c r="B480" s="8">
        <v>5.0</v>
      </c>
      <c r="C480" s="8">
        <v>8.0</v>
      </c>
      <c r="D480" s="8">
        <v>15.0</v>
      </c>
      <c r="E480" s="8">
        <v>18.0</v>
      </c>
      <c r="F480" s="8">
        <v>36.0</v>
      </c>
      <c r="G480" s="8">
        <v>45.0</v>
      </c>
      <c r="H480" s="9">
        <v>6.0</v>
      </c>
      <c r="I480" s="4">
        <v>44096.0</v>
      </c>
      <c r="J480" s="5" t="s">
        <v>955</v>
      </c>
      <c r="K480" s="10" t="s">
        <v>956</v>
      </c>
    </row>
    <row r="481">
      <c r="A481" s="7">
        <v>480.0</v>
      </c>
      <c r="B481" s="8">
        <v>12.0</v>
      </c>
      <c r="C481" s="8">
        <v>28.0</v>
      </c>
      <c r="D481" s="8">
        <v>41.0</v>
      </c>
      <c r="E481" s="8">
        <v>42.0</v>
      </c>
      <c r="F481" s="8">
        <v>52.0</v>
      </c>
      <c r="G481" s="8">
        <v>53.0</v>
      </c>
      <c r="H481" s="9">
        <v>50.0</v>
      </c>
      <c r="I481" s="4">
        <v>44098.0</v>
      </c>
      <c r="J481" s="5" t="s">
        <v>957</v>
      </c>
      <c r="K481" s="11" t="s">
        <v>958</v>
      </c>
    </row>
    <row r="482">
      <c r="A482" s="7">
        <v>481.0</v>
      </c>
      <c r="B482" s="8">
        <v>7.0</v>
      </c>
      <c r="C482" s="8">
        <v>10.0</v>
      </c>
      <c r="D482" s="8">
        <v>13.0</v>
      </c>
      <c r="E482" s="8">
        <v>15.0</v>
      </c>
      <c r="F482" s="8">
        <v>40.0</v>
      </c>
      <c r="G482" s="8">
        <v>48.0</v>
      </c>
      <c r="H482" s="9">
        <v>1.0</v>
      </c>
      <c r="I482" s="4">
        <v>44100.0</v>
      </c>
      <c r="J482" s="5" t="s">
        <v>959</v>
      </c>
      <c r="K482" s="12" t="s">
        <v>960</v>
      </c>
    </row>
    <row r="483">
      <c r="A483" s="7">
        <v>482.0</v>
      </c>
      <c r="B483" s="8">
        <v>1.0</v>
      </c>
      <c r="C483" s="8">
        <v>6.0</v>
      </c>
      <c r="D483" s="8">
        <v>7.0</v>
      </c>
      <c r="E483" s="8">
        <v>13.0</v>
      </c>
      <c r="F483" s="8">
        <v>30.0</v>
      </c>
      <c r="G483" s="8">
        <v>55.0</v>
      </c>
      <c r="H483" s="9">
        <v>34.0</v>
      </c>
      <c r="I483" s="4">
        <v>44103.0</v>
      </c>
      <c r="J483" s="5" t="s">
        <v>961</v>
      </c>
      <c r="K483" s="11" t="s">
        <v>962</v>
      </c>
    </row>
    <row r="484">
      <c r="A484" s="7">
        <v>483.0</v>
      </c>
      <c r="B484" s="8">
        <v>3.0</v>
      </c>
      <c r="C484" s="8">
        <v>6.0</v>
      </c>
      <c r="D484" s="8">
        <v>7.0</v>
      </c>
      <c r="E484" s="8">
        <v>19.0</v>
      </c>
      <c r="F484" s="8">
        <v>38.0</v>
      </c>
      <c r="G484" s="8">
        <v>54.0</v>
      </c>
      <c r="H484" s="9">
        <v>50.0</v>
      </c>
      <c r="I484" s="4">
        <v>44105.0</v>
      </c>
      <c r="J484" s="5" t="s">
        <v>963</v>
      </c>
      <c r="K484" s="10" t="s">
        <v>964</v>
      </c>
    </row>
    <row r="485">
      <c r="A485" s="7">
        <v>484.0</v>
      </c>
      <c r="B485" s="8">
        <v>12.0</v>
      </c>
      <c r="C485" s="8">
        <v>14.0</v>
      </c>
      <c r="D485" s="8">
        <v>22.0</v>
      </c>
      <c r="E485" s="8">
        <v>23.0</v>
      </c>
      <c r="F485" s="8">
        <v>39.0</v>
      </c>
      <c r="G485" s="8">
        <v>44.0</v>
      </c>
      <c r="H485" s="9">
        <v>28.0</v>
      </c>
      <c r="I485" s="4">
        <v>44107.0</v>
      </c>
      <c r="J485" s="5" t="s">
        <v>965</v>
      </c>
      <c r="K485" s="11" t="s">
        <v>966</v>
      </c>
    </row>
    <row r="486">
      <c r="A486" s="7">
        <v>485.0</v>
      </c>
      <c r="B486" s="8">
        <v>11.0</v>
      </c>
      <c r="C486" s="8">
        <v>14.0</v>
      </c>
      <c r="D486" s="8">
        <v>29.0</v>
      </c>
      <c r="E486" s="8">
        <v>32.0</v>
      </c>
      <c r="F486" s="8">
        <v>33.0</v>
      </c>
      <c r="G486" s="8">
        <v>40.0</v>
      </c>
      <c r="H486" s="9">
        <v>35.0</v>
      </c>
      <c r="I486" s="4">
        <v>44110.0</v>
      </c>
      <c r="J486" s="5" t="s">
        <v>967</v>
      </c>
      <c r="K486" s="10" t="s">
        <v>968</v>
      </c>
    </row>
    <row r="487">
      <c r="A487" s="7">
        <v>486.0</v>
      </c>
      <c r="B487" s="8">
        <v>10.0</v>
      </c>
      <c r="C487" s="8">
        <v>18.0</v>
      </c>
      <c r="D487" s="8">
        <v>20.0</v>
      </c>
      <c r="E487" s="8">
        <v>21.0</v>
      </c>
      <c r="F487" s="8">
        <v>26.0</v>
      </c>
      <c r="G487" s="8">
        <v>51.0</v>
      </c>
      <c r="H487" s="9">
        <v>52.0</v>
      </c>
      <c r="I487" s="4">
        <v>44112.0</v>
      </c>
      <c r="J487" s="5" t="s">
        <v>969</v>
      </c>
      <c r="K487" s="11" t="s">
        <v>970</v>
      </c>
    </row>
    <row r="488">
      <c r="A488" s="7">
        <v>487.0</v>
      </c>
      <c r="B488" s="8">
        <v>5.0</v>
      </c>
      <c r="C488" s="8">
        <v>10.0</v>
      </c>
      <c r="D488" s="8">
        <v>47.0</v>
      </c>
      <c r="E488" s="8">
        <v>50.0</v>
      </c>
      <c r="F488" s="8">
        <v>53.0</v>
      </c>
      <c r="G488" s="8">
        <v>54.0</v>
      </c>
      <c r="H488" s="9">
        <v>22.0</v>
      </c>
      <c r="I488" s="4">
        <v>44114.0</v>
      </c>
      <c r="J488" s="5" t="s">
        <v>971</v>
      </c>
      <c r="K488" s="12" t="s">
        <v>972</v>
      </c>
    </row>
    <row r="489">
      <c r="A489" s="7">
        <v>488.0</v>
      </c>
      <c r="B489" s="8">
        <v>12.0</v>
      </c>
      <c r="C489" s="8">
        <v>19.0</v>
      </c>
      <c r="D489" s="8">
        <v>28.0</v>
      </c>
      <c r="E489" s="8">
        <v>29.0</v>
      </c>
      <c r="F489" s="8">
        <v>52.0</v>
      </c>
      <c r="G489" s="8">
        <v>53.0</v>
      </c>
      <c r="H489" s="9">
        <v>20.0</v>
      </c>
      <c r="I489" s="4">
        <v>44117.0</v>
      </c>
      <c r="J489" s="5" t="s">
        <v>973</v>
      </c>
      <c r="K489" s="11" t="s">
        <v>974</v>
      </c>
    </row>
    <row r="490">
      <c r="A490" s="7">
        <v>489.0</v>
      </c>
      <c r="B490" s="8">
        <v>8.0</v>
      </c>
      <c r="C490" s="8">
        <v>38.0</v>
      </c>
      <c r="D490" s="8">
        <v>41.0</v>
      </c>
      <c r="E490" s="8">
        <v>47.0</v>
      </c>
      <c r="F490" s="8">
        <v>50.0</v>
      </c>
      <c r="G490" s="8">
        <v>52.0</v>
      </c>
      <c r="H490" s="9">
        <v>45.0</v>
      </c>
      <c r="I490" s="4">
        <v>44119.0</v>
      </c>
      <c r="J490" s="5" t="s">
        <v>975</v>
      </c>
      <c r="K490" s="10" t="s">
        <v>976</v>
      </c>
    </row>
    <row r="491">
      <c r="A491" s="7">
        <v>490.0</v>
      </c>
      <c r="B491" s="8">
        <v>3.0</v>
      </c>
      <c r="C491" s="8">
        <v>14.0</v>
      </c>
      <c r="D491" s="8">
        <v>25.0</v>
      </c>
      <c r="E491" s="8">
        <v>37.0</v>
      </c>
      <c r="F491" s="8">
        <v>49.0</v>
      </c>
      <c r="G491" s="8">
        <v>54.0</v>
      </c>
      <c r="H491" s="9">
        <v>53.0</v>
      </c>
      <c r="I491" s="4">
        <v>44121.0</v>
      </c>
      <c r="J491" s="5" t="s">
        <v>977</v>
      </c>
      <c r="K491" s="11" t="s">
        <v>978</v>
      </c>
    </row>
    <row r="492">
      <c r="A492" s="7">
        <v>491.0</v>
      </c>
      <c r="B492" s="8">
        <v>8.0</v>
      </c>
      <c r="C492" s="8">
        <v>33.0</v>
      </c>
      <c r="D492" s="8">
        <v>38.0</v>
      </c>
      <c r="E492" s="8">
        <v>47.0</v>
      </c>
      <c r="F492" s="8">
        <v>49.0</v>
      </c>
      <c r="G492" s="8">
        <v>54.0</v>
      </c>
      <c r="H492" s="9">
        <v>31.0</v>
      </c>
      <c r="I492" s="4">
        <v>44124.0</v>
      </c>
      <c r="J492" s="5" t="s">
        <v>979</v>
      </c>
      <c r="K492" s="12" t="s">
        <v>980</v>
      </c>
    </row>
    <row r="493">
      <c r="A493" s="7">
        <v>492.0</v>
      </c>
      <c r="B493" s="8">
        <v>2.0</v>
      </c>
      <c r="C493" s="8">
        <v>3.0</v>
      </c>
      <c r="D493" s="8">
        <v>12.0</v>
      </c>
      <c r="E493" s="8">
        <v>21.0</v>
      </c>
      <c r="F493" s="8">
        <v>24.0</v>
      </c>
      <c r="G493" s="8">
        <v>38.0</v>
      </c>
      <c r="H493" s="9">
        <v>14.0</v>
      </c>
      <c r="I493" s="4">
        <v>44126.0</v>
      </c>
      <c r="J493" s="5" t="s">
        <v>981</v>
      </c>
      <c r="K493" s="11" t="s">
        <v>982</v>
      </c>
    </row>
    <row r="494">
      <c r="A494" s="7">
        <v>493.0</v>
      </c>
      <c r="B494" s="8">
        <v>12.0</v>
      </c>
      <c r="C494" s="8">
        <v>21.0</v>
      </c>
      <c r="D494" s="8">
        <v>22.0</v>
      </c>
      <c r="E494" s="8">
        <v>27.0</v>
      </c>
      <c r="F494" s="8">
        <v>41.0</v>
      </c>
      <c r="G494" s="8">
        <v>50.0</v>
      </c>
      <c r="H494" s="9">
        <v>34.0</v>
      </c>
      <c r="I494" s="4">
        <v>44128.0</v>
      </c>
      <c r="J494" s="5" t="s">
        <v>983</v>
      </c>
      <c r="K494" s="10" t="s">
        <v>984</v>
      </c>
    </row>
    <row r="495">
      <c r="A495" s="7">
        <v>494.0</v>
      </c>
      <c r="B495" s="8">
        <v>3.0</v>
      </c>
      <c r="C495" s="8">
        <v>31.0</v>
      </c>
      <c r="D495" s="8">
        <v>33.0</v>
      </c>
      <c r="E495" s="8">
        <v>36.0</v>
      </c>
      <c r="F495" s="8">
        <v>38.0</v>
      </c>
      <c r="G495" s="8">
        <v>39.0</v>
      </c>
      <c r="H495" s="9">
        <v>8.0</v>
      </c>
      <c r="I495" s="4">
        <v>44131.0</v>
      </c>
      <c r="J495" s="5" t="s">
        <v>985</v>
      </c>
      <c r="K495" s="13" t="s">
        <v>986</v>
      </c>
    </row>
    <row r="496">
      <c r="A496" s="7">
        <v>495.0</v>
      </c>
      <c r="B496" s="8">
        <v>9.0</v>
      </c>
      <c r="C496" s="8">
        <v>11.0</v>
      </c>
      <c r="D496" s="8">
        <v>14.0</v>
      </c>
      <c r="E496" s="8">
        <v>16.0</v>
      </c>
      <c r="F496" s="8">
        <v>21.0</v>
      </c>
      <c r="G496" s="8">
        <v>23.0</v>
      </c>
      <c r="H496" s="9">
        <v>54.0</v>
      </c>
      <c r="I496" s="4">
        <v>44133.0</v>
      </c>
      <c r="J496" s="5" t="s">
        <v>987</v>
      </c>
      <c r="K496" s="10" t="s">
        <v>988</v>
      </c>
    </row>
    <row r="497">
      <c r="A497" s="7">
        <v>496.0</v>
      </c>
      <c r="B497" s="8">
        <v>8.0</v>
      </c>
      <c r="C497" s="8">
        <v>18.0</v>
      </c>
      <c r="D497" s="8">
        <v>19.0</v>
      </c>
      <c r="E497" s="8">
        <v>20.0</v>
      </c>
      <c r="F497" s="8">
        <v>43.0</v>
      </c>
      <c r="G497" s="8">
        <v>54.0</v>
      </c>
      <c r="H497" s="9">
        <v>50.0</v>
      </c>
      <c r="I497" s="4">
        <v>44135.0</v>
      </c>
      <c r="J497" s="5" t="s">
        <v>989</v>
      </c>
      <c r="K497" s="11" t="s">
        <v>990</v>
      </c>
    </row>
    <row r="498">
      <c r="A498" s="7">
        <v>497.0</v>
      </c>
      <c r="B498" s="8">
        <v>2.0</v>
      </c>
      <c r="C498" s="8">
        <v>22.0</v>
      </c>
      <c r="D498" s="8">
        <v>27.0</v>
      </c>
      <c r="E498" s="8">
        <v>46.0</v>
      </c>
      <c r="F498" s="8">
        <v>48.0</v>
      </c>
      <c r="G498" s="8">
        <v>52.0</v>
      </c>
      <c r="H498" s="9">
        <v>23.0</v>
      </c>
      <c r="I498" s="4">
        <v>44138.0</v>
      </c>
      <c r="J498" s="5" t="s">
        <v>991</v>
      </c>
      <c r="K498" s="10" t="s">
        <v>992</v>
      </c>
    </row>
    <row r="499">
      <c r="A499" s="7">
        <v>498.0</v>
      </c>
      <c r="B499" s="8">
        <v>1.0</v>
      </c>
      <c r="C499" s="8">
        <v>2.0</v>
      </c>
      <c r="D499" s="8">
        <v>6.0</v>
      </c>
      <c r="E499" s="8">
        <v>18.0</v>
      </c>
      <c r="F499" s="8">
        <v>34.0</v>
      </c>
      <c r="G499" s="8">
        <v>51.0</v>
      </c>
      <c r="H499" s="9">
        <v>52.0</v>
      </c>
      <c r="I499" s="4">
        <v>44140.0</v>
      </c>
      <c r="J499" s="5" t="s">
        <v>993</v>
      </c>
      <c r="K499" s="11" t="s">
        <v>994</v>
      </c>
    </row>
    <row r="500">
      <c r="A500" s="7">
        <v>499.0</v>
      </c>
      <c r="B500" s="8">
        <v>12.0</v>
      </c>
      <c r="C500" s="8">
        <v>28.0</v>
      </c>
      <c r="D500" s="8">
        <v>30.0</v>
      </c>
      <c r="E500" s="8">
        <v>33.0</v>
      </c>
      <c r="F500" s="8">
        <v>45.0</v>
      </c>
      <c r="G500" s="8">
        <v>52.0</v>
      </c>
      <c r="H500" s="9">
        <v>15.0</v>
      </c>
      <c r="I500" s="4">
        <v>44142.0</v>
      </c>
      <c r="J500" s="5" t="s">
        <v>995</v>
      </c>
      <c r="K500" s="10" t="s">
        <v>996</v>
      </c>
    </row>
    <row r="501">
      <c r="A501" s="7">
        <v>500.0</v>
      </c>
      <c r="B501" s="8">
        <v>2.0</v>
      </c>
      <c r="C501" s="8">
        <v>5.0</v>
      </c>
      <c r="D501" s="8">
        <v>19.0</v>
      </c>
      <c r="E501" s="8">
        <v>39.0</v>
      </c>
      <c r="F501" s="8">
        <v>48.0</v>
      </c>
      <c r="G501" s="8">
        <v>53.0</v>
      </c>
      <c r="H501" s="9">
        <v>6.0</v>
      </c>
      <c r="I501" s="4">
        <v>44145.0</v>
      </c>
      <c r="J501" s="5" t="s">
        <v>997</v>
      </c>
      <c r="K501" s="11" t="s">
        <v>998</v>
      </c>
    </row>
    <row r="502">
      <c r="A502" s="7">
        <v>501.0</v>
      </c>
      <c r="B502" s="8">
        <v>4.0</v>
      </c>
      <c r="C502" s="8">
        <v>20.0</v>
      </c>
      <c r="D502" s="8">
        <v>22.0</v>
      </c>
      <c r="E502" s="8">
        <v>25.0</v>
      </c>
      <c r="F502" s="8">
        <v>43.0</v>
      </c>
      <c r="G502" s="8">
        <v>47.0</v>
      </c>
      <c r="H502" s="9">
        <v>12.0</v>
      </c>
      <c r="I502" s="4">
        <v>44147.0</v>
      </c>
      <c r="J502" s="5" t="s">
        <v>999</v>
      </c>
      <c r="K502" s="12" t="s">
        <v>1000</v>
      </c>
    </row>
    <row r="503">
      <c r="A503" s="7">
        <v>502.0</v>
      </c>
      <c r="B503" s="8">
        <v>5.0</v>
      </c>
      <c r="C503" s="8">
        <v>11.0</v>
      </c>
      <c r="D503" s="8">
        <v>15.0</v>
      </c>
      <c r="E503" s="8">
        <v>34.0</v>
      </c>
      <c r="F503" s="8">
        <v>44.0</v>
      </c>
      <c r="G503" s="8">
        <v>48.0</v>
      </c>
      <c r="H503" s="9">
        <v>35.0</v>
      </c>
      <c r="I503" s="4">
        <v>44149.0</v>
      </c>
      <c r="J503" s="5" t="s">
        <v>1001</v>
      </c>
      <c r="K503" s="11" t="s">
        <v>1002</v>
      </c>
    </row>
    <row r="504">
      <c r="A504" s="7">
        <v>503.0</v>
      </c>
      <c r="B504" s="8">
        <v>6.0</v>
      </c>
      <c r="C504" s="8">
        <v>17.0</v>
      </c>
      <c r="D504" s="8">
        <v>27.0</v>
      </c>
      <c r="E504" s="8">
        <v>34.0</v>
      </c>
      <c r="F504" s="8">
        <v>36.0</v>
      </c>
      <c r="G504" s="8">
        <v>51.0</v>
      </c>
      <c r="H504" s="9">
        <v>48.0</v>
      </c>
      <c r="I504" s="4">
        <v>44152.0</v>
      </c>
      <c r="J504" s="5" t="s">
        <v>1003</v>
      </c>
      <c r="K504" s="10" t="s">
        <v>1004</v>
      </c>
    </row>
    <row r="505">
      <c r="A505" s="7">
        <v>504.0</v>
      </c>
      <c r="B505" s="8">
        <v>12.0</v>
      </c>
      <c r="C505" s="8">
        <v>15.0</v>
      </c>
      <c r="D505" s="8">
        <v>23.0</v>
      </c>
      <c r="E505" s="8">
        <v>28.0</v>
      </c>
      <c r="F505" s="8">
        <v>45.0</v>
      </c>
      <c r="G505" s="8">
        <v>48.0</v>
      </c>
      <c r="H505" s="9">
        <v>43.0</v>
      </c>
      <c r="I505" s="4">
        <v>44154.0</v>
      </c>
      <c r="J505" s="5" t="s">
        <v>1005</v>
      </c>
      <c r="K505" s="11" t="s">
        <v>1006</v>
      </c>
    </row>
    <row r="506">
      <c r="A506" s="7">
        <v>505.0</v>
      </c>
      <c r="B506" s="8">
        <v>8.0</v>
      </c>
      <c r="C506" s="8">
        <v>14.0</v>
      </c>
      <c r="D506" s="8">
        <v>19.0</v>
      </c>
      <c r="E506" s="8">
        <v>20.0</v>
      </c>
      <c r="F506" s="8">
        <v>49.0</v>
      </c>
      <c r="G506" s="8">
        <v>51.0</v>
      </c>
      <c r="H506" s="9">
        <v>28.0</v>
      </c>
      <c r="I506" s="4">
        <v>44156.0</v>
      </c>
      <c r="J506" s="5" t="s">
        <v>1007</v>
      </c>
      <c r="K506" s="10" t="s">
        <v>1008</v>
      </c>
    </row>
    <row r="507">
      <c r="A507" s="7">
        <v>506.0</v>
      </c>
      <c r="B507" s="8">
        <v>4.0</v>
      </c>
      <c r="C507" s="8">
        <v>7.0</v>
      </c>
      <c r="D507" s="8">
        <v>19.0</v>
      </c>
      <c r="E507" s="8">
        <v>20.0</v>
      </c>
      <c r="F507" s="8">
        <v>22.0</v>
      </c>
      <c r="G507" s="8">
        <v>53.0</v>
      </c>
      <c r="H507" s="9">
        <v>23.0</v>
      </c>
      <c r="I507" s="4">
        <v>44159.0</v>
      </c>
      <c r="J507" s="5" t="s">
        <v>1009</v>
      </c>
      <c r="K507" s="11" t="s">
        <v>1010</v>
      </c>
    </row>
    <row r="508">
      <c r="A508" s="7">
        <v>507.0</v>
      </c>
      <c r="B508" s="8">
        <v>18.0</v>
      </c>
      <c r="C508" s="8">
        <v>19.0</v>
      </c>
      <c r="D508" s="8">
        <v>29.0</v>
      </c>
      <c r="E508" s="8">
        <v>31.0</v>
      </c>
      <c r="F508" s="8">
        <v>36.0</v>
      </c>
      <c r="G508" s="8">
        <v>52.0</v>
      </c>
      <c r="H508" s="9">
        <v>50.0</v>
      </c>
      <c r="I508" s="4">
        <v>44161.0</v>
      </c>
      <c r="J508" s="5" t="s">
        <v>1011</v>
      </c>
      <c r="K508" s="10" t="s">
        <v>1012</v>
      </c>
    </row>
    <row r="509">
      <c r="A509" s="7">
        <v>508.0</v>
      </c>
      <c r="B509" s="8">
        <v>1.0</v>
      </c>
      <c r="C509" s="8">
        <v>20.0</v>
      </c>
      <c r="D509" s="8">
        <v>36.0</v>
      </c>
      <c r="E509" s="8">
        <v>44.0</v>
      </c>
      <c r="F509" s="8">
        <v>45.0</v>
      </c>
      <c r="G509" s="8">
        <v>49.0</v>
      </c>
      <c r="H509" s="9">
        <v>52.0</v>
      </c>
      <c r="I509" s="4">
        <v>44163.0</v>
      </c>
      <c r="J509" s="5" t="s">
        <v>1013</v>
      </c>
      <c r="K509" s="11" t="s">
        <v>1014</v>
      </c>
    </row>
    <row r="510">
      <c r="A510" s="7">
        <v>509.0</v>
      </c>
      <c r="B510" s="8">
        <v>6.0</v>
      </c>
      <c r="C510" s="8">
        <v>10.0</v>
      </c>
      <c r="D510" s="8">
        <v>12.0</v>
      </c>
      <c r="E510" s="8">
        <v>24.0</v>
      </c>
      <c r="F510" s="8">
        <v>34.0</v>
      </c>
      <c r="G510" s="8">
        <v>43.0</v>
      </c>
      <c r="H510" s="9">
        <v>15.0</v>
      </c>
      <c r="I510" s="4">
        <v>44166.0</v>
      </c>
      <c r="J510" s="5" t="s">
        <v>1015</v>
      </c>
      <c r="K510" s="12" t="s">
        <v>1016</v>
      </c>
    </row>
    <row r="511">
      <c r="A511" s="7">
        <v>510.0</v>
      </c>
      <c r="B511" s="8">
        <v>5.0</v>
      </c>
      <c r="C511" s="8">
        <v>19.0</v>
      </c>
      <c r="D511" s="8">
        <v>32.0</v>
      </c>
      <c r="E511" s="8">
        <v>41.0</v>
      </c>
      <c r="F511" s="8">
        <v>42.0</v>
      </c>
      <c r="G511" s="8">
        <v>45.0</v>
      </c>
      <c r="H511" s="9">
        <v>17.0</v>
      </c>
      <c r="I511" s="4">
        <v>44168.0</v>
      </c>
      <c r="J511" s="5" t="s">
        <v>1017</v>
      </c>
      <c r="K511" s="13" t="s">
        <v>1018</v>
      </c>
    </row>
    <row r="512">
      <c r="A512" s="7">
        <v>511.0</v>
      </c>
      <c r="B512" s="8">
        <v>10.0</v>
      </c>
      <c r="C512" s="8">
        <v>28.0</v>
      </c>
      <c r="D512" s="8">
        <v>29.0</v>
      </c>
      <c r="E512" s="8">
        <v>30.0</v>
      </c>
      <c r="F512" s="8">
        <v>37.0</v>
      </c>
      <c r="G512" s="8">
        <v>38.0</v>
      </c>
      <c r="H512" s="9">
        <v>36.0</v>
      </c>
      <c r="I512" s="4">
        <v>44170.0</v>
      </c>
      <c r="J512" s="5" t="s">
        <v>1019</v>
      </c>
      <c r="K512" s="10" t="s">
        <v>1020</v>
      </c>
    </row>
    <row r="513">
      <c r="A513" s="7">
        <v>512.0</v>
      </c>
      <c r="B513" s="8">
        <v>2.0</v>
      </c>
      <c r="C513" s="8">
        <v>17.0</v>
      </c>
      <c r="D513" s="8">
        <v>32.0</v>
      </c>
      <c r="E513" s="8">
        <v>33.0</v>
      </c>
      <c r="F513" s="8">
        <v>38.0</v>
      </c>
      <c r="G513" s="8">
        <v>45.0</v>
      </c>
      <c r="H513" s="9">
        <v>37.0</v>
      </c>
      <c r="I513" s="4">
        <v>44173.0</v>
      </c>
      <c r="J513" s="5" t="s">
        <v>1021</v>
      </c>
      <c r="K513" s="13" t="s">
        <v>1022</v>
      </c>
    </row>
    <row r="514">
      <c r="A514" s="7">
        <v>513.0</v>
      </c>
      <c r="B514" s="8">
        <v>3.0</v>
      </c>
      <c r="C514" s="8">
        <v>31.0</v>
      </c>
      <c r="D514" s="8">
        <v>34.0</v>
      </c>
      <c r="E514" s="8">
        <v>36.0</v>
      </c>
      <c r="F514" s="8">
        <v>44.0</v>
      </c>
      <c r="G514" s="8">
        <v>54.0</v>
      </c>
      <c r="H514" s="9">
        <v>45.0</v>
      </c>
      <c r="I514" s="4">
        <v>44175.0</v>
      </c>
      <c r="J514" s="5" t="s">
        <v>1023</v>
      </c>
      <c r="K514" s="12" t="s">
        <v>1024</v>
      </c>
    </row>
    <row r="515">
      <c r="A515" s="7">
        <v>514.0</v>
      </c>
      <c r="B515" s="8">
        <v>3.0</v>
      </c>
      <c r="C515" s="8">
        <v>14.0</v>
      </c>
      <c r="D515" s="8">
        <v>32.0</v>
      </c>
      <c r="E515" s="8">
        <v>36.0</v>
      </c>
      <c r="F515" s="8">
        <v>41.0</v>
      </c>
      <c r="G515" s="8">
        <v>46.0</v>
      </c>
      <c r="H515" s="9">
        <v>54.0</v>
      </c>
      <c r="I515" s="4">
        <v>44177.0</v>
      </c>
      <c r="J515" s="5" t="s">
        <v>1025</v>
      </c>
      <c r="K515" s="11" t="s">
        <v>1026</v>
      </c>
    </row>
    <row r="516">
      <c r="A516" s="7">
        <v>515.0</v>
      </c>
      <c r="B516" s="8">
        <v>10.0</v>
      </c>
      <c r="C516" s="8">
        <v>11.0</v>
      </c>
      <c r="D516" s="8">
        <v>13.0</v>
      </c>
      <c r="E516" s="8">
        <v>35.0</v>
      </c>
      <c r="F516" s="8">
        <v>38.0</v>
      </c>
      <c r="G516" s="8">
        <v>49.0</v>
      </c>
      <c r="H516" s="9">
        <v>14.0</v>
      </c>
      <c r="I516" s="4">
        <v>44180.0</v>
      </c>
      <c r="J516" s="5" t="s">
        <v>1027</v>
      </c>
      <c r="K516" s="10" t="s">
        <v>1028</v>
      </c>
    </row>
    <row r="517">
      <c r="A517" s="7">
        <v>516.0</v>
      </c>
      <c r="B517" s="8">
        <v>15.0</v>
      </c>
      <c r="C517" s="8">
        <v>25.0</v>
      </c>
      <c r="D517" s="8">
        <v>27.0</v>
      </c>
      <c r="E517" s="8">
        <v>35.0</v>
      </c>
      <c r="F517" s="8">
        <v>40.0</v>
      </c>
      <c r="G517" s="8">
        <v>48.0</v>
      </c>
      <c r="H517" s="9">
        <v>45.0</v>
      </c>
      <c r="I517" s="4">
        <v>44182.0</v>
      </c>
      <c r="J517" s="5" t="s">
        <v>1029</v>
      </c>
      <c r="K517" s="11" t="s">
        <v>1030</v>
      </c>
    </row>
    <row r="518">
      <c r="A518" s="7">
        <v>517.0</v>
      </c>
      <c r="B518" s="8">
        <v>14.0</v>
      </c>
      <c r="C518" s="8">
        <v>20.0</v>
      </c>
      <c r="D518" s="8">
        <v>32.0</v>
      </c>
      <c r="E518" s="8">
        <v>34.0</v>
      </c>
      <c r="F518" s="8">
        <v>37.0</v>
      </c>
      <c r="G518" s="8">
        <v>49.0</v>
      </c>
      <c r="H518" s="9">
        <v>31.0</v>
      </c>
      <c r="I518" s="4">
        <v>44184.0</v>
      </c>
      <c r="J518" s="5" t="s">
        <v>1031</v>
      </c>
      <c r="K518" s="10" t="s">
        <v>1032</v>
      </c>
    </row>
    <row r="519">
      <c r="A519" s="7">
        <v>518.0</v>
      </c>
      <c r="B519" s="8">
        <v>10.0</v>
      </c>
      <c r="C519" s="8">
        <v>11.0</v>
      </c>
      <c r="D519" s="8">
        <v>16.0</v>
      </c>
      <c r="E519" s="8">
        <v>29.0</v>
      </c>
      <c r="F519" s="8">
        <v>35.0</v>
      </c>
      <c r="G519" s="8">
        <v>38.0</v>
      </c>
      <c r="H519" s="9">
        <v>3.0</v>
      </c>
      <c r="I519" s="4">
        <v>44187.0</v>
      </c>
      <c r="J519" s="5" t="s">
        <v>1033</v>
      </c>
      <c r="K519" s="13" t="s">
        <v>1034</v>
      </c>
    </row>
    <row r="520">
      <c r="A520" s="7">
        <v>519.0</v>
      </c>
      <c r="B520" s="8">
        <v>11.0</v>
      </c>
      <c r="C520" s="8">
        <v>19.0</v>
      </c>
      <c r="D520" s="8">
        <v>34.0</v>
      </c>
      <c r="E520" s="8">
        <v>41.0</v>
      </c>
      <c r="F520" s="8">
        <v>44.0</v>
      </c>
      <c r="G520" s="8">
        <v>48.0</v>
      </c>
      <c r="H520" s="9">
        <v>43.0</v>
      </c>
      <c r="I520" s="4">
        <v>44189.0</v>
      </c>
      <c r="J520" s="5" t="s">
        <v>1035</v>
      </c>
      <c r="K520" s="10" t="s">
        <v>1036</v>
      </c>
    </row>
    <row r="521">
      <c r="A521" s="7">
        <v>520.0</v>
      </c>
      <c r="B521" s="8">
        <v>1.0</v>
      </c>
      <c r="C521" s="8">
        <v>24.0</v>
      </c>
      <c r="D521" s="8">
        <v>33.0</v>
      </c>
      <c r="E521" s="8">
        <v>41.0</v>
      </c>
      <c r="F521" s="8">
        <v>43.0</v>
      </c>
      <c r="G521" s="8">
        <v>51.0</v>
      </c>
      <c r="H521" s="9">
        <v>48.0</v>
      </c>
      <c r="I521" s="4">
        <v>44191.0</v>
      </c>
      <c r="J521" s="5" t="s">
        <v>1037</v>
      </c>
      <c r="K521" s="13" t="s">
        <v>1038</v>
      </c>
    </row>
    <row r="522">
      <c r="A522" s="7">
        <v>521.0</v>
      </c>
      <c r="B522" s="8">
        <v>4.0</v>
      </c>
      <c r="C522" s="8">
        <v>8.0</v>
      </c>
      <c r="D522" s="8">
        <v>11.0</v>
      </c>
      <c r="E522" s="8">
        <v>15.0</v>
      </c>
      <c r="F522" s="8">
        <v>17.0</v>
      </c>
      <c r="G522" s="8">
        <v>41.0</v>
      </c>
      <c r="H522" s="9">
        <v>23.0</v>
      </c>
      <c r="I522" s="4">
        <v>44194.0</v>
      </c>
      <c r="J522" s="5" t="s">
        <v>1039</v>
      </c>
      <c r="K522" s="10" t="s">
        <v>1040</v>
      </c>
    </row>
    <row r="523">
      <c r="A523" s="7">
        <v>522.0</v>
      </c>
      <c r="B523" s="8">
        <v>2.0</v>
      </c>
      <c r="C523" s="8">
        <v>15.0</v>
      </c>
      <c r="D523" s="8">
        <v>25.0</v>
      </c>
      <c r="E523" s="8">
        <v>27.0</v>
      </c>
      <c r="F523" s="8">
        <v>37.0</v>
      </c>
      <c r="G523" s="8">
        <v>51.0</v>
      </c>
      <c r="H523" s="9">
        <v>53.0</v>
      </c>
      <c r="I523" s="4">
        <v>44196.0</v>
      </c>
      <c r="J523" s="5" t="s">
        <v>1041</v>
      </c>
      <c r="K523" s="11" t="s">
        <v>1042</v>
      </c>
    </row>
    <row r="524">
      <c r="A524" s="7">
        <v>523.0</v>
      </c>
      <c r="B524" s="8">
        <v>7.0</v>
      </c>
      <c r="C524" s="8">
        <v>19.0</v>
      </c>
      <c r="D524" s="8">
        <v>23.0</v>
      </c>
      <c r="E524" s="8">
        <v>26.0</v>
      </c>
      <c r="F524" s="8">
        <v>35.0</v>
      </c>
      <c r="G524" s="8">
        <v>45.0</v>
      </c>
      <c r="H524" s="9">
        <v>11.0</v>
      </c>
      <c r="I524" s="4">
        <v>44198.0</v>
      </c>
      <c r="J524" s="5" t="s">
        <v>1043</v>
      </c>
      <c r="K524" s="10" t="s">
        <v>1044</v>
      </c>
    </row>
    <row r="525">
      <c r="A525" s="7">
        <v>524.0</v>
      </c>
      <c r="B525" s="8">
        <v>5.0</v>
      </c>
      <c r="C525" s="8">
        <v>7.0</v>
      </c>
      <c r="D525" s="8">
        <v>9.0</v>
      </c>
      <c r="E525" s="8">
        <v>22.0</v>
      </c>
      <c r="F525" s="8">
        <v>42.0</v>
      </c>
      <c r="G525" s="8">
        <v>54.0</v>
      </c>
      <c r="H525" s="9">
        <v>47.0</v>
      </c>
      <c r="I525" s="4">
        <v>44201.0</v>
      </c>
      <c r="J525" s="5" t="s">
        <v>1045</v>
      </c>
      <c r="K525" s="13" t="s">
        <v>1046</v>
      </c>
    </row>
    <row r="526">
      <c r="A526" s="7">
        <v>525.0</v>
      </c>
      <c r="B526" s="8">
        <v>7.0</v>
      </c>
      <c r="C526" s="8">
        <v>11.0</v>
      </c>
      <c r="D526" s="8">
        <v>22.0</v>
      </c>
      <c r="E526" s="8">
        <v>38.0</v>
      </c>
      <c r="F526" s="8">
        <v>48.0</v>
      </c>
      <c r="G526" s="8">
        <v>51.0</v>
      </c>
      <c r="H526" s="9">
        <v>53.0</v>
      </c>
      <c r="I526" s="4">
        <v>44203.0</v>
      </c>
      <c r="J526" s="5" t="s">
        <v>1047</v>
      </c>
      <c r="K526" s="10" t="s">
        <v>1048</v>
      </c>
    </row>
    <row r="527">
      <c r="A527" s="7">
        <v>526.0</v>
      </c>
      <c r="B527" s="8">
        <v>10.0</v>
      </c>
      <c r="C527" s="8">
        <v>19.0</v>
      </c>
      <c r="D527" s="8">
        <v>24.0</v>
      </c>
      <c r="E527" s="8">
        <v>29.0</v>
      </c>
      <c r="F527" s="8">
        <v>46.0</v>
      </c>
      <c r="G527" s="8">
        <v>48.0</v>
      </c>
      <c r="H527" s="9">
        <v>5.0</v>
      </c>
      <c r="I527" s="4">
        <v>44205.0</v>
      </c>
      <c r="J527" s="5" t="s">
        <v>1049</v>
      </c>
      <c r="K527" s="11" t="s">
        <v>1050</v>
      </c>
    </row>
    <row r="528">
      <c r="A528" s="7">
        <v>527.0</v>
      </c>
      <c r="B528" s="8">
        <v>19.0</v>
      </c>
      <c r="C528" s="8">
        <v>23.0</v>
      </c>
      <c r="D528" s="8">
        <v>29.0</v>
      </c>
      <c r="E528" s="8">
        <v>34.0</v>
      </c>
      <c r="F528" s="8">
        <v>44.0</v>
      </c>
      <c r="G528" s="8">
        <v>53.0</v>
      </c>
      <c r="H528" s="9">
        <v>35.0</v>
      </c>
      <c r="I528" s="4">
        <v>44208.0</v>
      </c>
      <c r="J528" s="5" t="s">
        <v>1051</v>
      </c>
      <c r="K528" s="10" t="s">
        <v>1052</v>
      </c>
    </row>
    <row r="529">
      <c r="A529" s="7">
        <v>528.0</v>
      </c>
      <c r="B529" s="8">
        <v>1.0</v>
      </c>
      <c r="C529" s="8">
        <v>4.0</v>
      </c>
      <c r="D529" s="8">
        <v>42.0</v>
      </c>
      <c r="E529" s="8">
        <v>44.0</v>
      </c>
      <c r="F529" s="8">
        <v>46.0</v>
      </c>
      <c r="G529" s="8">
        <v>50.0</v>
      </c>
      <c r="H529" s="9">
        <v>9.0</v>
      </c>
      <c r="I529" s="4">
        <v>44210.0</v>
      </c>
      <c r="J529" s="5" t="s">
        <v>1053</v>
      </c>
      <c r="K529" s="11" t="s">
        <v>1054</v>
      </c>
    </row>
    <row r="530">
      <c r="A530" s="7">
        <v>529.0</v>
      </c>
      <c r="B530" s="8">
        <v>13.0</v>
      </c>
      <c r="C530" s="8">
        <v>15.0</v>
      </c>
      <c r="D530" s="8">
        <v>28.0</v>
      </c>
      <c r="E530" s="8">
        <v>29.0</v>
      </c>
      <c r="F530" s="8">
        <v>32.0</v>
      </c>
      <c r="G530" s="8">
        <v>44.0</v>
      </c>
      <c r="H530" s="9">
        <v>49.0</v>
      </c>
      <c r="I530" s="4">
        <v>44212.0</v>
      </c>
      <c r="J530" s="5" t="s">
        <v>1055</v>
      </c>
      <c r="K530" s="10" t="s">
        <v>1056</v>
      </c>
    </row>
    <row r="531">
      <c r="A531" s="7">
        <v>530.0</v>
      </c>
      <c r="B531" s="8">
        <v>5.0</v>
      </c>
      <c r="C531" s="8">
        <v>22.0</v>
      </c>
      <c r="D531" s="8">
        <v>25.0</v>
      </c>
      <c r="E531" s="8">
        <v>43.0</v>
      </c>
      <c r="F531" s="8">
        <v>48.0</v>
      </c>
      <c r="G531" s="8">
        <v>53.0</v>
      </c>
      <c r="H531" s="9">
        <v>18.0</v>
      </c>
      <c r="I531" s="4">
        <v>44215.0</v>
      </c>
      <c r="J531" s="5" t="s">
        <v>1057</v>
      </c>
      <c r="K531" s="11" t="s">
        <v>1058</v>
      </c>
    </row>
    <row r="532">
      <c r="A532" s="7">
        <v>531.0</v>
      </c>
      <c r="B532" s="8">
        <v>9.0</v>
      </c>
      <c r="C532" s="8">
        <v>20.0</v>
      </c>
      <c r="D532" s="8">
        <v>22.0</v>
      </c>
      <c r="E532" s="8">
        <v>31.0</v>
      </c>
      <c r="F532" s="8">
        <v>47.0</v>
      </c>
      <c r="G532" s="8">
        <v>52.0</v>
      </c>
      <c r="H532" s="9">
        <v>18.0</v>
      </c>
      <c r="I532" s="4">
        <v>44217.0</v>
      </c>
      <c r="J532" s="5" t="s">
        <v>1059</v>
      </c>
      <c r="K532" s="10" t="s">
        <v>1060</v>
      </c>
    </row>
    <row r="533">
      <c r="A533" s="7">
        <v>532.0</v>
      </c>
      <c r="B533" s="8">
        <v>12.0</v>
      </c>
      <c r="C533" s="8">
        <v>31.0</v>
      </c>
      <c r="D533" s="8">
        <v>39.0</v>
      </c>
      <c r="E533" s="8">
        <v>41.0</v>
      </c>
      <c r="F533" s="8">
        <v>45.0</v>
      </c>
      <c r="G533" s="8">
        <v>55.0</v>
      </c>
      <c r="H533" s="9">
        <v>34.0</v>
      </c>
      <c r="I533" s="4">
        <v>44219.0</v>
      </c>
      <c r="J533" s="5" t="s">
        <v>1061</v>
      </c>
      <c r="K533" s="11" t="s">
        <v>1062</v>
      </c>
    </row>
    <row r="534">
      <c r="A534" s="7">
        <v>533.0</v>
      </c>
      <c r="B534" s="8">
        <v>7.0</v>
      </c>
      <c r="C534" s="8">
        <v>16.0</v>
      </c>
      <c r="D534" s="8">
        <v>32.0</v>
      </c>
      <c r="E534" s="8">
        <v>42.0</v>
      </c>
      <c r="F534" s="8">
        <v>44.0</v>
      </c>
      <c r="G534" s="8">
        <v>47.0</v>
      </c>
      <c r="H534" s="9">
        <v>35.0</v>
      </c>
      <c r="I534" s="4">
        <v>44222.0</v>
      </c>
      <c r="J534" s="5" t="s">
        <v>1063</v>
      </c>
      <c r="K534" s="10" t="s">
        <v>1064</v>
      </c>
    </row>
    <row r="535">
      <c r="A535" s="7">
        <v>534.0</v>
      </c>
      <c r="B535" s="8">
        <v>3.0</v>
      </c>
      <c r="C535" s="8">
        <v>4.0</v>
      </c>
      <c r="D535" s="8">
        <v>16.0</v>
      </c>
      <c r="E535" s="8">
        <v>34.0</v>
      </c>
      <c r="F535" s="8">
        <v>40.0</v>
      </c>
      <c r="G535" s="8">
        <v>55.0</v>
      </c>
      <c r="H535" s="9">
        <v>2.0</v>
      </c>
      <c r="I535" s="4">
        <v>44224.0</v>
      </c>
      <c r="J535" s="5" t="s">
        <v>1065</v>
      </c>
      <c r="K535" s="11" t="s">
        <v>1066</v>
      </c>
    </row>
    <row r="536">
      <c r="A536" s="7">
        <v>535.0</v>
      </c>
      <c r="B536" s="8">
        <v>2.0</v>
      </c>
      <c r="C536" s="8">
        <v>7.0</v>
      </c>
      <c r="D536" s="8">
        <v>17.0</v>
      </c>
      <c r="E536" s="8">
        <v>18.0</v>
      </c>
      <c r="F536" s="8">
        <v>21.0</v>
      </c>
      <c r="G536" s="8">
        <v>29.0</v>
      </c>
      <c r="H536" s="9">
        <v>19.0</v>
      </c>
      <c r="I536" s="4">
        <v>44226.0</v>
      </c>
      <c r="J536" s="5" t="s">
        <v>1067</v>
      </c>
      <c r="K536" s="10" t="s">
        <v>1068</v>
      </c>
    </row>
    <row r="537">
      <c r="A537" s="7">
        <v>536.0</v>
      </c>
      <c r="B537" s="8">
        <v>4.0</v>
      </c>
      <c r="C537" s="8">
        <v>13.0</v>
      </c>
      <c r="D537" s="8">
        <v>31.0</v>
      </c>
      <c r="E537" s="8">
        <v>36.0</v>
      </c>
      <c r="F537" s="8">
        <v>40.0</v>
      </c>
      <c r="G537" s="8">
        <v>54.0</v>
      </c>
      <c r="H537" s="9">
        <v>30.0</v>
      </c>
      <c r="I537" s="4">
        <v>44229.0</v>
      </c>
      <c r="J537" s="5" t="s">
        <v>1069</v>
      </c>
      <c r="K537" s="11" t="s">
        <v>1070</v>
      </c>
    </row>
    <row r="538">
      <c r="A538" s="7">
        <v>537.0</v>
      </c>
      <c r="B538" s="8">
        <v>28.0</v>
      </c>
      <c r="C538" s="8">
        <v>43.0</v>
      </c>
      <c r="D538" s="8">
        <v>44.0</v>
      </c>
      <c r="E538" s="8">
        <v>50.0</v>
      </c>
      <c r="F538" s="8">
        <v>51.0</v>
      </c>
      <c r="G538" s="8">
        <v>53.0</v>
      </c>
      <c r="H538" s="9">
        <v>13.0</v>
      </c>
      <c r="I538" s="4">
        <v>44231.0</v>
      </c>
      <c r="J538" s="5" t="s">
        <v>1071</v>
      </c>
      <c r="K538" s="10" t="s">
        <v>1072</v>
      </c>
    </row>
    <row r="539">
      <c r="A539" s="7">
        <v>538.0</v>
      </c>
      <c r="B539" s="8">
        <v>6.0</v>
      </c>
      <c r="C539" s="8">
        <v>22.0</v>
      </c>
      <c r="D539" s="8">
        <v>32.0</v>
      </c>
      <c r="E539" s="8">
        <v>33.0</v>
      </c>
      <c r="F539" s="8">
        <v>35.0</v>
      </c>
      <c r="G539" s="8">
        <v>53.0</v>
      </c>
      <c r="H539" s="9">
        <v>12.0</v>
      </c>
      <c r="I539" s="4">
        <v>44233.0</v>
      </c>
      <c r="J539" s="5" t="s">
        <v>1073</v>
      </c>
      <c r="K539" s="13" t="s">
        <v>1074</v>
      </c>
    </row>
    <row r="540">
      <c r="A540" s="7">
        <v>539.0</v>
      </c>
      <c r="B540" s="8">
        <v>15.0</v>
      </c>
      <c r="C540" s="8">
        <v>20.0</v>
      </c>
      <c r="D540" s="8">
        <v>21.0</v>
      </c>
      <c r="E540" s="8">
        <v>29.0</v>
      </c>
      <c r="F540" s="8">
        <v>31.0</v>
      </c>
      <c r="G540" s="8">
        <v>41.0</v>
      </c>
      <c r="H540" s="9">
        <v>34.0</v>
      </c>
      <c r="I540" s="4">
        <v>44236.0</v>
      </c>
      <c r="J540" s="5" t="s">
        <v>1075</v>
      </c>
      <c r="K540" s="10" t="s">
        <v>1076</v>
      </c>
    </row>
    <row r="541">
      <c r="A541" s="7">
        <v>540.0</v>
      </c>
      <c r="B541" s="8">
        <v>3.0</v>
      </c>
      <c r="C541" s="8">
        <v>11.0</v>
      </c>
      <c r="D541" s="8">
        <v>14.0</v>
      </c>
      <c r="E541" s="8">
        <v>31.0</v>
      </c>
      <c r="F541" s="8">
        <v>34.0</v>
      </c>
      <c r="G541" s="8">
        <v>42.0</v>
      </c>
      <c r="H541" s="9">
        <v>24.0</v>
      </c>
      <c r="I541" s="4">
        <v>44240.0</v>
      </c>
      <c r="J541" s="5" t="s">
        <v>1077</v>
      </c>
      <c r="K541" s="11" t="s">
        <v>1078</v>
      </c>
    </row>
    <row r="542">
      <c r="A542" s="7">
        <v>541.0</v>
      </c>
      <c r="B542" s="8">
        <v>4.0</v>
      </c>
      <c r="C542" s="8">
        <v>10.0</v>
      </c>
      <c r="D542" s="8">
        <v>11.0</v>
      </c>
      <c r="E542" s="8">
        <v>21.0</v>
      </c>
      <c r="F542" s="8">
        <v>23.0</v>
      </c>
      <c r="G542" s="8">
        <v>44.0</v>
      </c>
      <c r="H542" s="9">
        <v>50.0</v>
      </c>
      <c r="I542" s="4">
        <v>44243.0</v>
      </c>
      <c r="J542" s="5" t="s">
        <v>1079</v>
      </c>
      <c r="K542" s="10" t="s">
        <v>1080</v>
      </c>
    </row>
    <row r="543">
      <c r="A543" s="7">
        <v>542.0</v>
      </c>
      <c r="B543" s="8">
        <v>2.0</v>
      </c>
      <c r="C543" s="8">
        <v>5.0</v>
      </c>
      <c r="D543" s="8">
        <v>10.0</v>
      </c>
      <c r="E543" s="8">
        <v>22.0</v>
      </c>
      <c r="F543" s="8">
        <v>26.0</v>
      </c>
      <c r="G543" s="8">
        <v>47.0</v>
      </c>
      <c r="H543" s="9">
        <v>53.0</v>
      </c>
      <c r="I543" s="4">
        <v>44245.0</v>
      </c>
      <c r="J543" s="5" t="s">
        <v>1081</v>
      </c>
      <c r="K543" s="13" t="s">
        <v>1082</v>
      </c>
    </row>
    <row r="544">
      <c r="A544" s="7">
        <v>543.0</v>
      </c>
      <c r="B544" s="8">
        <v>1.0</v>
      </c>
      <c r="C544" s="8">
        <v>2.0</v>
      </c>
      <c r="D544" s="8">
        <v>4.0</v>
      </c>
      <c r="E544" s="8">
        <v>32.0</v>
      </c>
      <c r="F544" s="8">
        <v>34.0</v>
      </c>
      <c r="G544" s="8">
        <v>39.0</v>
      </c>
      <c r="H544" s="9">
        <v>20.0</v>
      </c>
      <c r="I544" s="4">
        <v>44247.0</v>
      </c>
      <c r="J544" s="5" t="s">
        <v>1083</v>
      </c>
      <c r="K544" s="10" t="s">
        <v>1084</v>
      </c>
    </row>
    <row r="545">
      <c r="A545" s="7">
        <v>544.0</v>
      </c>
      <c r="B545" s="8">
        <v>16.0</v>
      </c>
      <c r="C545" s="8">
        <v>19.0</v>
      </c>
      <c r="D545" s="8">
        <v>21.0</v>
      </c>
      <c r="E545" s="8">
        <v>23.0</v>
      </c>
      <c r="F545" s="8">
        <v>30.0</v>
      </c>
      <c r="G545" s="8">
        <v>48.0</v>
      </c>
      <c r="H545" s="9">
        <v>6.0</v>
      </c>
      <c r="I545" s="4">
        <v>44250.0</v>
      </c>
      <c r="J545" s="5" t="s">
        <v>1085</v>
      </c>
      <c r="K545" s="11" t="s">
        <v>1086</v>
      </c>
    </row>
    <row r="546">
      <c r="A546" s="7">
        <v>545.0</v>
      </c>
      <c r="B546" s="8">
        <v>9.0</v>
      </c>
      <c r="C546" s="8">
        <v>19.0</v>
      </c>
      <c r="D546" s="8">
        <v>32.0</v>
      </c>
      <c r="E546" s="8">
        <v>40.0</v>
      </c>
      <c r="F546" s="8">
        <v>45.0</v>
      </c>
      <c r="G546" s="8">
        <v>51.0</v>
      </c>
      <c r="H546" s="9">
        <v>1.0</v>
      </c>
      <c r="I546" s="4">
        <v>44252.0</v>
      </c>
      <c r="J546" s="5" t="s">
        <v>1087</v>
      </c>
      <c r="K546" s="10" t="s">
        <v>1088</v>
      </c>
    </row>
    <row r="547">
      <c r="A547" s="7">
        <v>546.0</v>
      </c>
      <c r="B547" s="8">
        <v>6.0</v>
      </c>
      <c r="C547" s="8">
        <v>11.0</v>
      </c>
      <c r="D547" s="8">
        <v>24.0</v>
      </c>
      <c r="E547" s="8">
        <v>30.0</v>
      </c>
      <c r="F547" s="8">
        <v>50.0</v>
      </c>
      <c r="G547" s="8">
        <v>52.0</v>
      </c>
      <c r="H547" s="9">
        <v>22.0</v>
      </c>
      <c r="I547" s="4">
        <v>44254.0</v>
      </c>
      <c r="J547" s="5" t="s">
        <v>1089</v>
      </c>
      <c r="K547" s="11" t="s">
        <v>1090</v>
      </c>
    </row>
    <row r="548">
      <c r="A548" s="7">
        <v>547.0</v>
      </c>
      <c r="B548" s="8">
        <v>23.0</v>
      </c>
      <c r="C548" s="8">
        <v>29.0</v>
      </c>
      <c r="D548" s="8">
        <v>45.0</v>
      </c>
      <c r="E548" s="8">
        <v>46.0</v>
      </c>
      <c r="F548" s="8">
        <v>49.0</v>
      </c>
      <c r="G548" s="8">
        <v>51.0</v>
      </c>
      <c r="H548" s="9">
        <v>1.0</v>
      </c>
      <c r="I548" s="4">
        <v>44257.0</v>
      </c>
      <c r="J548" s="5" t="s">
        <v>1091</v>
      </c>
      <c r="K548" s="10" t="s">
        <v>1092</v>
      </c>
    </row>
    <row r="549">
      <c r="A549" s="7">
        <v>548.0</v>
      </c>
      <c r="B549" s="8">
        <v>2.0</v>
      </c>
      <c r="C549" s="8">
        <v>9.0</v>
      </c>
      <c r="D549" s="8">
        <v>21.0</v>
      </c>
      <c r="E549" s="8">
        <v>23.0</v>
      </c>
      <c r="F549" s="8">
        <v>33.0</v>
      </c>
      <c r="G549" s="8">
        <v>41.0</v>
      </c>
      <c r="H549" s="9">
        <v>45.0</v>
      </c>
      <c r="I549" s="4">
        <v>44259.0</v>
      </c>
      <c r="J549" s="5" t="s">
        <v>1093</v>
      </c>
      <c r="K549" s="11" t="s">
        <v>1094</v>
      </c>
    </row>
    <row r="550">
      <c r="A550" s="7">
        <v>549.0</v>
      </c>
      <c r="B550" s="8">
        <v>18.0</v>
      </c>
      <c r="C550" s="8">
        <v>24.0</v>
      </c>
      <c r="D550" s="8">
        <v>34.0</v>
      </c>
      <c r="E550" s="8">
        <v>39.0</v>
      </c>
      <c r="F550" s="8">
        <v>46.0</v>
      </c>
      <c r="G550" s="8">
        <v>55.0</v>
      </c>
      <c r="H550" s="9">
        <v>4.0</v>
      </c>
      <c r="I550" s="4">
        <v>44261.0</v>
      </c>
      <c r="J550" s="5" t="s">
        <v>1095</v>
      </c>
      <c r="K550" s="10" t="s">
        <v>1096</v>
      </c>
    </row>
    <row r="551">
      <c r="A551" s="7">
        <v>550.0</v>
      </c>
      <c r="B551" s="8">
        <v>15.0</v>
      </c>
      <c r="C551" s="8">
        <v>18.0</v>
      </c>
      <c r="D551" s="8">
        <v>29.0</v>
      </c>
      <c r="E551" s="8">
        <v>35.0</v>
      </c>
      <c r="F551" s="8">
        <v>47.0</v>
      </c>
      <c r="G551" s="8">
        <v>54.0</v>
      </c>
      <c r="H551" s="9">
        <v>20.0</v>
      </c>
      <c r="I551" s="4">
        <v>44264.0</v>
      </c>
      <c r="J551" s="5" t="s">
        <v>1097</v>
      </c>
      <c r="K551" s="11" t="s">
        <v>1098</v>
      </c>
    </row>
    <row r="552">
      <c r="A552" s="7">
        <v>551.0</v>
      </c>
      <c r="B552" s="8">
        <v>4.0</v>
      </c>
      <c r="C552" s="8">
        <v>5.0</v>
      </c>
      <c r="D552" s="8">
        <v>12.0</v>
      </c>
      <c r="E552" s="8">
        <v>25.0</v>
      </c>
      <c r="F552" s="8">
        <v>43.0</v>
      </c>
      <c r="G552" s="8">
        <v>44.0</v>
      </c>
      <c r="H552" s="9">
        <v>27.0</v>
      </c>
      <c r="I552" s="4">
        <v>44266.0</v>
      </c>
      <c r="J552" s="5" t="s">
        <v>1099</v>
      </c>
      <c r="K552" s="10" t="s">
        <v>1100</v>
      </c>
    </row>
    <row r="553">
      <c r="A553" s="7">
        <v>552.0</v>
      </c>
      <c r="B553" s="8">
        <v>7.0</v>
      </c>
      <c r="C553" s="8">
        <v>19.0</v>
      </c>
      <c r="D553" s="8">
        <v>20.0</v>
      </c>
      <c r="E553" s="8">
        <v>23.0</v>
      </c>
      <c r="F553" s="8">
        <v>36.0</v>
      </c>
      <c r="G553" s="8">
        <v>55.0</v>
      </c>
      <c r="H553" s="9">
        <v>9.0</v>
      </c>
      <c r="I553" s="4">
        <v>44268.0</v>
      </c>
      <c r="J553" s="5" t="s">
        <v>1101</v>
      </c>
      <c r="K553" s="11" t="s">
        <v>1102</v>
      </c>
    </row>
    <row r="554">
      <c r="A554" s="7">
        <v>553.0</v>
      </c>
      <c r="B554" s="8">
        <v>3.0</v>
      </c>
      <c r="C554" s="8">
        <v>31.0</v>
      </c>
      <c r="D554" s="8">
        <v>45.0</v>
      </c>
      <c r="E554" s="8">
        <v>46.0</v>
      </c>
      <c r="F554" s="8">
        <v>49.0</v>
      </c>
      <c r="G554" s="8">
        <v>54.0</v>
      </c>
      <c r="H554" s="9">
        <v>40.0</v>
      </c>
      <c r="I554" s="4">
        <v>44271.0</v>
      </c>
      <c r="J554" s="5" t="s">
        <v>1103</v>
      </c>
      <c r="K554" s="10" t="s">
        <v>1104</v>
      </c>
    </row>
    <row r="555">
      <c r="A555" s="7">
        <v>554.0</v>
      </c>
      <c r="B555" s="8">
        <v>17.0</v>
      </c>
      <c r="C555" s="8">
        <v>24.0</v>
      </c>
      <c r="D555" s="8">
        <v>38.0</v>
      </c>
      <c r="E555" s="8">
        <v>41.0</v>
      </c>
      <c r="F555" s="8">
        <v>46.0</v>
      </c>
      <c r="G555" s="8">
        <v>54.0</v>
      </c>
      <c r="H555" s="9">
        <v>51.0</v>
      </c>
      <c r="I555" s="4">
        <v>44273.0</v>
      </c>
      <c r="J555" s="5" t="s">
        <v>1105</v>
      </c>
      <c r="K555" s="11" t="s">
        <v>1106</v>
      </c>
    </row>
    <row r="556">
      <c r="A556" s="7">
        <v>555.0</v>
      </c>
      <c r="B556" s="8">
        <v>16.0</v>
      </c>
      <c r="C556" s="8">
        <v>18.0</v>
      </c>
      <c r="D556" s="8">
        <v>20.0</v>
      </c>
      <c r="E556" s="8">
        <v>25.0</v>
      </c>
      <c r="F556" s="8">
        <v>35.0</v>
      </c>
      <c r="G556" s="8">
        <v>36.0</v>
      </c>
      <c r="H556" s="9">
        <v>17.0</v>
      </c>
      <c r="I556" s="4">
        <v>44275.0</v>
      </c>
      <c r="J556" s="5" t="s">
        <v>1107</v>
      </c>
      <c r="K556" s="10" t="s">
        <v>1108</v>
      </c>
    </row>
    <row r="557">
      <c r="A557" s="7">
        <v>556.0</v>
      </c>
      <c r="B557" s="8">
        <v>9.0</v>
      </c>
      <c r="C557" s="8">
        <v>13.0</v>
      </c>
      <c r="D557" s="8">
        <v>17.0</v>
      </c>
      <c r="E557" s="8">
        <v>33.0</v>
      </c>
      <c r="F557" s="8">
        <v>34.0</v>
      </c>
      <c r="G557" s="8">
        <v>53.0</v>
      </c>
      <c r="H557" s="9">
        <v>31.0</v>
      </c>
      <c r="I557" s="4">
        <v>44278.0</v>
      </c>
      <c r="J557" s="5" t="s">
        <v>1109</v>
      </c>
      <c r="K557" s="11" t="s">
        <v>1110</v>
      </c>
    </row>
    <row r="558">
      <c r="A558" s="7">
        <v>557.0</v>
      </c>
      <c r="B558" s="8">
        <v>19.0</v>
      </c>
      <c r="C558" s="8">
        <v>20.0</v>
      </c>
      <c r="D558" s="8">
        <v>24.0</v>
      </c>
      <c r="E558" s="8">
        <v>29.0</v>
      </c>
      <c r="F558" s="8">
        <v>36.0</v>
      </c>
      <c r="G558" s="8">
        <v>39.0</v>
      </c>
      <c r="H558" s="9">
        <v>22.0</v>
      </c>
      <c r="I558" s="4">
        <v>44280.0</v>
      </c>
      <c r="J558" s="5" t="s">
        <v>1111</v>
      </c>
      <c r="K558" s="10" t="s">
        <v>1112</v>
      </c>
    </row>
    <row r="559">
      <c r="A559" s="7">
        <v>558.0</v>
      </c>
      <c r="B559" s="8">
        <v>5.0</v>
      </c>
      <c r="C559" s="8">
        <v>11.0</v>
      </c>
      <c r="D559" s="8">
        <v>17.0</v>
      </c>
      <c r="E559" s="8">
        <v>20.0</v>
      </c>
      <c r="F559" s="8">
        <v>26.0</v>
      </c>
      <c r="G559" s="8">
        <v>37.0</v>
      </c>
      <c r="H559" s="9">
        <v>12.0</v>
      </c>
      <c r="I559" s="4">
        <v>44282.0</v>
      </c>
      <c r="J559" s="5" t="s">
        <v>1113</v>
      </c>
      <c r="K559" s="13" t="s">
        <v>1114</v>
      </c>
    </row>
    <row r="560">
      <c r="A560" s="7">
        <v>559.0</v>
      </c>
      <c r="B560" s="8">
        <v>2.0</v>
      </c>
      <c r="C560" s="8">
        <v>11.0</v>
      </c>
      <c r="D560" s="8">
        <v>17.0</v>
      </c>
      <c r="E560" s="8">
        <v>19.0</v>
      </c>
      <c r="F560" s="8">
        <v>47.0</v>
      </c>
      <c r="G560" s="8">
        <v>51.0</v>
      </c>
      <c r="H560" s="9">
        <v>22.0</v>
      </c>
      <c r="I560" s="4">
        <v>44285.0</v>
      </c>
      <c r="J560" s="5" t="s">
        <v>1115</v>
      </c>
      <c r="K560" s="12" t="s">
        <v>1116</v>
      </c>
    </row>
    <row r="561">
      <c r="A561" s="7">
        <v>560.0</v>
      </c>
      <c r="B561" s="8">
        <v>13.0</v>
      </c>
      <c r="C561" s="8">
        <v>18.0</v>
      </c>
      <c r="D561" s="8">
        <v>24.0</v>
      </c>
      <c r="E561" s="8">
        <v>34.0</v>
      </c>
      <c r="F561" s="8">
        <v>38.0</v>
      </c>
      <c r="G561" s="8">
        <v>54.0</v>
      </c>
      <c r="H561" s="9">
        <v>8.0</v>
      </c>
      <c r="I561" s="4">
        <v>44287.0</v>
      </c>
      <c r="J561" s="5" t="s">
        <v>1117</v>
      </c>
      <c r="K561" s="13" t="s">
        <v>1118</v>
      </c>
    </row>
    <row r="562">
      <c r="A562" s="7">
        <v>561.0</v>
      </c>
      <c r="B562" s="8">
        <v>2.0</v>
      </c>
      <c r="C562" s="8">
        <v>4.0</v>
      </c>
      <c r="D562" s="8">
        <v>34.0</v>
      </c>
      <c r="E562" s="8">
        <v>38.0</v>
      </c>
      <c r="F562" s="8">
        <v>41.0</v>
      </c>
      <c r="G562" s="8">
        <v>55.0</v>
      </c>
      <c r="H562" s="9">
        <v>19.0</v>
      </c>
      <c r="I562" s="4">
        <v>44289.0</v>
      </c>
      <c r="J562" s="5" t="s">
        <v>1119</v>
      </c>
      <c r="K562" s="10" t="s">
        <v>1120</v>
      </c>
    </row>
    <row r="563">
      <c r="A563" s="7">
        <v>562.0</v>
      </c>
      <c r="B563" s="8">
        <v>27.0</v>
      </c>
      <c r="C563" s="8">
        <v>33.0</v>
      </c>
      <c r="D563" s="8">
        <v>34.0</v>
      </c>
      <c r="E563" s="8">
        <v>38.0</v>
      </c>
      <c r="F563" s="8">
        <v>46.0</v>
      </c>
      <c r="G563" s="8">
        <v>48.0</v>
      </c>
      <c r="H563" s="9">
        <v>5.0</v>
      </c>
      <c r="I563" s="4">
        <v>44292.0</v>
      </c>
      <c r="J563" s="5" t="s">
        <v>1121</v>
      </c>
      <c r="K563" s="11" t="s">
        <v>1122</v>
      </c>
    </row>
    <row r="564">
      <c r="A564" s="7">
        <v>563.0</v>
      </c>
      <c r="B564" s="8">
        <v>8.0</v>
      </c>
      <c r="C564" s="8">
        <v>11.0</v>
      </c>
      <c r="D564" s="8">
        <v>16.0</v>
      </c>
      <c r="E564" s="8">
        <v>22.0</v>
      </c>
      <c r="F564" s="8">
        <v>28.0</v>
      </c>
      <c r="G564" s="8">
        <v>30.0</v>
      </c>
      <c r="H564" s="9">
        <v>45.0</v>
      </c>
      <c r="I564" s="4">
        <v>44294.0</v>
      </c>
      <c r="J564" s="5" t="s">
        <v>1123</v>
      </c>
      <c r="K564" s="10" t="s">
        <v>1124</v>
      </c>
    </row>
    <row r="565">
      <c r="A565" s="7">
        <v>564.0</v>
      </c>
      <c r="B565" s="8">
        <v>12.0</v>
      </c>
      <c r="C565" s="8">
        <v>13.0</v>
      </c>
      <c r="D565" s="8">
        <v>16.0</v>
      </c>
      <c r="E565" s="8">
        <v>17.0</v>
      </c>
      <c r="F565" s="8">
        <v>27.0</v>
      </c>
      <c r="G565" s="8">
        <v>47.0</v>
      </c>
      <c r="H565" s="9">
        <v>49.0</v>
      </c>
      <c r="I565" s="4">
        <v>44296.0</v>
      </c>
      <c r="J565" s="5" t="s">
        <v>1125</v>
      </c>
      <c r="K565" s="13" t="s">
        <v>1126</v>
      </c>
    </row>
    <row r="566">
      <c r="A566" s="7">
        <v>565.0</v>
      </c>
      <c r="B566" s="8">
        <v>25.0</v>
      </c>
      <c r="C566" s="8">
        <v>33.0</v>
      </c>
      <c r="D566" s="8">
        <v>39.0</v>
      </c>
      <c r="E566" s="8">
        <v>45.0</v>
      </c>
      <c r="F566" s="8">
        <v>49.0</v>
      </c>
      <c r="G566" s="8">
        <v>55.0</v>
      </c>
      <c r="H566" s="9">
        <v>36.0</v>
      </c>
      <c r="I566" s="4">
        <v>44299.0</v>
      </c>
      <c r="J566" s="5" t="s">
        <v>1127</v>
      </c>
      <c r="K566" s="10" t="s">
        <v>1128</v>
      </c>
    </row>
    <row r="567">
      <c r="A567" s="7">
        <v>566.0</v>
      </c>
      <c r="B567" s="8">
        <v>5.0</v>
      </c>
      <c r="C567" s="8">
        <v>8.0</v>
      </c>
      <c r="D567" s="8">
        <v>27.0</v>
      </c>
      <c r="E567" s="8">
        <v>42.0</v>
      </c>
      <c r="F567" s="8">
        <v>47.0</v>
      </c>
      <c r="G567" s="8">
        <v>51.0</v>
      </c>
      <c r="H567" s="9">
        <v>36.0</v>
      </c>
      <c r="I567" s="4">
        <v>44301.0</v>
      </c>
      <c r="J567" s="5" t="s">
        <v>1129</v>
      </c>
      <c r="K567" s="11" t="s">
        <v>1130</v>
      </c>
    </row>
    <row r="568">
      <c r="A568" s="7">
        <v>567.0</v>
      </c>
      <c r="B568" s="8">
        <v>4.0</v>
      </c>
      <c r="C568" s="8">
        <v>15.0</v>
      </c>
      <c r="D568" s="8">
        <v>16.0</v>
      </c>
      <c r="E568" s="8">
        <v>29.0</v>
      </c>
      <c r="F568" s="8">
        <v>42.0</v>
      </c>
      <c r="G568" s="8">
        <v>46.0</v>
      </c>
      <c r="H568" s="9">
        <v>36.0</v>
      </c>
      <c r="I568" s="4">
        <v>44303.0</v>
      </c>
      <c r="J568" s="5" t="s">
        <v>1131</v>
      </c>
      <c r="K568" s="12" t="s">
        <v>1132</v>
      </c>
    </row>
    <row r="569">
      <c r="A569" s="7">
        <v>568.0</v>
      </c>
      <c r="B569" s="8">
        <v>18.0</v>
      </c>
      <c r="C569" s="8">
        <v>25.0</v>
      </c>
      <c r="D569" s="8">
        <v>38.0</v>
      </c>
      <c r="E569" s="8">
        <v>43.0</v>
      </c>
      <c r="F569" s="8">
        <v>47.0</v>
      </c>
      <c r="G569" s="8">
        <v>51.0</v>
      </c>
      <c r="H569" s="9">
        <v>11.0</v>
      </c>
      <c r="I569" s="4">
        <v>44306.0</v>
      </c>
      <c r="J569" s="5" t="s">
        <v>1133</v>
      </c>
      <c r="K569" s="11" t="s">
        <v>1134</v>
      </c>
    </row>
    <row r="570">
      <c r="A570" s="7">
        <v>569.0</v>
      </c>
      <c r="B570" s="8">
        <v>5.0</v>
      </c>
      <c r="C570" s="8">
        <v>11.0</v>
      </c>
      <c r="D570" s="8">
        <v>17.0</v>
      </c>
      <c r="E570" s="8">
        <v>25.0</v>
      </c>
      <c r="F570" s="8">
        <v>39.0</v>
      </c>
      <c r="G570" s="8">
        <v>48.0</v>
      </c>
      <c r="H570" s="9">
        <v>22.0</v>
      </c>
      <c r="I570" s="4">
        <v>44308.0</v>
      </c>
      <c r="J570" s="5" t="s">
        <v>1135</v>
      </c>
      <c r="K570" s="12" t="s">
        <v>1136</v>
      </c>
    </row>
    <row r="571">
      <c r="A571" s="7">
        <v>570.0</v>
      </c>
      <c r="B571" s="8">
        <v>1.0</v>
      </c>
      <c r="C571" s="8">
        <v>4.0</v>
      </c>
      <c r="D571" s="8">
        <v>5.0</v>
      </c>
      <c r="E571" s="8">
        <v>21.0</v>
      </c>
      <c r="F571" s="8">
        <v>25.0</v>
      </c>
      <c r="G571" s="8">
        <v>44.0</v>
      </c>
      <c r="H571" s="9">
        <v>45.0</v>
      </c>
      <c r="I571" s="4">
        <v>44310.0</v>
      </c>
      <c r="J571" s="5" t="s">
        <v>1137</v>
      </c>
      <c r="K571" s="11" t="s">
        <v>1138</v>
      </c>
    </row>
    <row r="572">
      <c r="A572" s="7">
        <v>571.0</v>
      </c>
      <c r="B572" s="8">
        <v>3.0</v>
      </c>
      <c r="C572" s="8">
        <v>9.0</v>
      </c>
      <c r="D572" s="8">
        <v>22.0</v>
      </c>
      <c r="E572" s="8">
        <v>26.0</v>
      </c>
      <c r="F572" s="8">
        <v>32.0</v>
      </c>
      <c r="G572" s="8">
        <v>37.0</v>
      </c>
      <c r="H572" s="9">
        <v>41.0</v>
      </c>
      <c r="I572" s="4">
        <v>44313.0</v>
      </c>
      <c r="J572" s="5" t="s">
        <v>1139</v>
      </c>
      <c r="K572" s="10" t="s">
        <v>1140</v>
      </c>
    </row>
    <row r="573">
      <c r="A573" s="7">
        <v>572.0</v>
      </c>
      <c r="B573" s="8">
        <v>3.0</v>
      </c>
      <c r="C573" s="8">
        <v>9.0</v>
      </c>
      <c r="D573" s="8">
        <v>23.0</v>
      </c>
      <c r="E573" s="8">
        <v>33.0</v>
      </c>
      <c r="F573" s="8">
        <v>42.0</v>
      </c>
      <c r="G573" s="8">
        <v>44.0</v>
      </c>
      <c r="H573" s="9">
        <v>50.0</v>
      </c>
      <c r="I573" s="4">
        <v>44315.0</v>
      </c>
      <c r="J573" s="5" t="s">
        <v>1141</v>
      </c>
      <c r="K573" s="11" t="s">
        <v>1142</v>
      </c>
    </row>
    <row r="574">
      <c r="A574" s="7">
        <v>573.0</v>
      </c>
      <c r="B574" s="8">
        <v>3.0</v>
      </c>
      <c r="C574" s="8">
        <v>7.0</v>
      </c>
      <c r="D574" s="8">
        <v>14.0</v>
      </c>
      <c r="E574" s="8">
        <v>22.0</v>
      </c>
      <c r="F574" s="8">
        <v>41.0</v>
      </c>
      <c r="G574" s="8">
        <v>42.0</v>
      </c>
      <c r="H574" s="9">
        <v>10.0</v>
      </c>
      <c r="I574" s="4">
        <v>44317.0</v>
      </c>
      <c r="J574" s="5" t="s">
        <v>1143</v>
      </c>
      <c r="K574" s="10" t="s">
        <v>1144</v>
      </c>
    </row>
    <row r="575">
      <c r="A575" s="7">
        <v>574.0</v>
      </c>
      <c r="B575" s="8">
        <v>7.0</v>
      </c>
      <c r="C575" s="8">
        <v>24.0</v>
      </c>
      <c r="D575" s="8">
        <v>45.0</v>
      </c>
      <c r="E575" s="8">
        <v>48.0</v>
      </c>
      <c r="F575" s="8">
        <v>49.0</v>
      </c>
      <c r="G575" s="8">
        <v>53.0</v>
      </c>
      <c r="H575" s="9">
        <v>14.0</v>
      </c>
      <c r="I575" s="4">
        <v>44320.0</v>
      </c>
      <c r="J575" s="5" t="s">
        <v>1145</v>
      </c>
      <c r="K575" s="11" t="s">
        <v>1146</v>
      </c>
    </row>
    <row r="576">
      <c r="A576" s="7">
        <v>575.0</v>
      </c>
      <c r="B576" s="8">
        <v>15.0</v>
      </c>
      <c r="C576" s="8">
        <v>19.0</v>
      </c>
      <c r="D576" s="8">
        <v>24.0</v>
      </c>
      <c r="E576" s="8">
        <v>31.0</v>
      </c>
      <c r="F576" s="8">
        <v>44.0</v>
      </c>
      <c r="G576" s="8">
        <v>53.0</v>
      </c>
      <c r="H576" s="9">
        <v>32.0</v>
      </c>
      <c r="I576" s="4">
        <v>44322.0</v>
      </c>
      <c r="J576" s="5" t="s">
        <v>1147</v>
      </c>
      <c r="K576" s="10" t="s">
        <v>1148</v>
      </c>
    </row>
    <row r="577">
      <c r="A577" s="7">
        <v>576.0</v>
      </c>
      <c r="B577" s="8">
        <v>14.0</v>
      </c>
      <c r="C577" s="8">
        <v>23.0</v>
      </c>
      <c r="D577" s="8">
        <v>26.0</v>
      </c>
      <c r="E577" s="8">
        <v>37.0</v>
      </c>
      <c r="F577" s="8">
        <v>42.0</v>
      </c>
      <c r="G577" s="8">
        <v>51.0</v>
      </c>
      <c r="H577" s="9">
        <v>40.0</v>
      </c>
      <c r="I577" s="4">
        <v>44324.0</v>
      </c>
      <c r="J577" s="5" t="s">
        <v>1149</v>
      </c>
      <c r="K577" s="11" t="s">
        <v>1150</v>
      </c>
    </row>
    <row r="578">
      <c r="A578" s="7">
        <v>577.0</v>
      </c>
      <c r="B578" s="8">
        <v>1.0</v>
      </c>
      <c r="C578" s="8">
        <v>14.0</v>
      </c>
      <c r="D578" s="8">
        <v>41.0</v>
      </c>
      <c r="E578" s="8">
        <v>44.0</v>
      </c>
      <c r="F578" s="8">
        <v>46.0</v>
      </c>
      <c r="G578" s="8">
        <v>53.0</v>
      </c>
      <c r="H578" s="9">
        <v>48.0</v>
      </c>
      <c r="I578" s="4">
        <v>44327.0</v>
      </c>
      <c r="J578" s="5" t="s">
        <v>1151</v>
      </c>
      <c r="K578" s="10" t="s">
        <v>1152</v>
      </c>
    </row>
    <row r="579">
      <c r="A579" s="7">
        <v>578.0</v>
      </c>
      <c r="B579" s="8">
        <v>13.0</v>
      </c>
      <c r="C579" s="8">
        <v>24.0</v>
      </c>
      <c r="D579" s="8">
        <v>25.0</v>
      </c>
      <c r="E579" s="8">
        <v>35.0</v>
      </c>
      <c r="F579" s="8">
        <v>39.0</v>
      </c>
      <c r="G579" s="8">
        <v>41.0</v>
      </c>
      <c r="H579" s="9">
        <v>29.0</v>
      </c>
      <c r="I579" s="4">
        <v>44329.0</v>
      </c>
      <c r="J579" s="5" t="s">
        <v>1153</v>
      </c>
      <c r="K579" s="13" t="s">
        <v>1154</v>
      </c>
    </row>
    <row r="580">
      <c r="A580" s="7">
        <v>579.0</v>
      </c>
      <c r="B580" s="8">
        <v>1.0</v>
      </c>
      <c r="C580" s="8">
        <v>5.0</v>
      </c>
      <c r="D580" s="8">
        <v>6.0</v>
      </c>
      <c r="E580" s="8">
        <v>13.0</v>
      </c>
      <c r="F580" s="8">
        <v>23.0</v>
      </c>
      <c r="G580" s="8">
        <v>27.0</v>
      </c>
      <c r="H580" s="9">
        <v>46.0</v>
      </c>
      <c r="I580" s="4">
        <v>44331.0</v>
      </c>
      <c r="J580" s="5" t="s">
        <v>1155</v>
      </c>
      <c r="K580" s="10" t="s">
        <v>1156</v>
      </c>
    </row>
    <row r="581">
      <c r="A581" s="7">
        <v>580.0</v>
      </c>
      <c r="B581" s="8">
        <v>6.0</v>
      </c>
      <c r="C581" s="8">
        <v>7.0</v>
      </c>
      <c r="D581" s="8">
        <v>22.0</v>
      </c>
      <c r="E581" s="8">
        <v>32.0</v>
      </c>
      <c r="F581" s="8">
        <v>38.0</v>
      </c>
      <c r="G581" s="8">
        <v>47.0</v>
      </c>
      <c r="H581" s="9">
        <v>27.0</v>
      </c>
      <c r="I581" s="4">
        <v>44334.0</v>
      </c>
      <c r="J581" s="5" t="s">
        <v>1157</v>
      </c>
      <c r="K581" s="13" t="s">
        <v>1158</v>
      </c>
    </row>
    <row r="582">
      <c r="A582" s="7">
        <v>581.0</v>
      </c>
      <c r="B582" s="8">
        <v>7.0</v>
      </c>
      <c r="C582" s="8">
        <v>10.0</v>
      </c>
      <c r="D582" s="8">
        <v>12.0</v>
      </c>
      <c r="E582" s="8">
        <v>19.0</v>
      </c>
      <c r="F582" s="8">
        <v>42.0</v>
      </c>
      <c r="G582" s="8">
        <v>54.0</v>
      </c>
      <c r="H582" s="9">
        <v>24.0</v>
      </c>
      <c r="I582" s="4">
        <v>44336.0</v>
      </c>
      <c r="J582" s="5" t="s">
        <v>1159</v>
      </c>
      <c r="K582" s="10" t="s">
        <v>1160</v>
      </c>
    </row>
    <row r="583">
      <c r="A583" s="7">
        <v>582.0</v>
      </c>
      <c r="B583" s="8">
        <v>15.0</v>
      </c>
      <c r="C583" s="8">
        <v>27.0</v>
      </c>
      <c r="D583" s="8">
        <v>37.0</v>
      </c>
      <c r="E583" s="8">
        <v>45.0</v>
      </c>
      <c r="F583" s="8">
        <v>46.0</v>
      </c>
      <c r="G583" s="8">
        <v>52.0</v>
      </c>
      <c r="H583" s="9">
        <v>31.0</v>
      </c>
      <c r="I583" s="4">
        <v>44338.0</v>
      </c>
      <c r="J583" s="5" t="s">
        <v>1161</v>
      </c>
      <c r="K583" s="11" t="s">
        <v>1162</v>
      </c>
    </row>
    <row r="584">
      <c r="A584" s="7">
        <v>583.0</v>
      </c>
      <c r="B584" s="8">
        <v>6.0</v>
      </c>
      <c r="C584" s="8">
        <v>10.0</v>
      </c>
      <c r="D584" s="8">
        <v>33.0</v>
      </c>
      <c r="E584" s="8">
        <v>35.0</v>
      </c>
      <c r="F584" s="8">
        <v>36.0</v>
      </c>
      <c r="G584" s="8">
        <v>43.0</v>
      </c>
      <c r="H584" s="9">
        <v>8.0</v>
      </c>
      <c r="I584" s="4">
        <v>44341.0</v>
      </c>
      <c r="J584" s="5" t="s">
        <v>1163</v>
      </c>
      <c r="K584" s="10" t="s">
        <v>1164</v>
      </c>
    </row>
    <row r="585">
      <c r="A585" s="7">
        <v>584.0</v>
      </c>
      <c r="B585" s="8">
        <v>3.0</v>
      </c>
      <c r="C585" s="8">
        <v>7.0</v>
      </c>
      <c r="D585" s="8">
        <v>18.0</v>
      </c>
      <c r="E585" s="8">
        <v>22.0</v>
      </c>
      <c r="F585" s="8">
        <v>40.0</v>
      </c>
      <c r="G585" s="8">
        <v>46.0</v>
      </c>
      <c r="H585" s="9">
        <v>14.0</v>
      </c>
      <c r="I585" s="4">
        <v>44343.0</v>
      </c>
      <c r="J585" s="5" t="s">
        <v>1165</v>
      </c>
      <c r="K585" s="11" t="s">
        <v>1166</v>
      </c>
    </row>
    <row r="586">
      <c r="A586" s="7">
        <v>585.0</v>
      </c>
      <c r="B586" s="8">
        <v>2.0</v>
      </c>
      <c r="C586" s="8">
        <v>11.0</v>
      </c>
      <c r="D586" s="8">
        <v>31.0</v>
      </c>
      <c r="E586" s="8">
        <v>37.0</v>
      </c>
      <c r="F586" s="8">
        <v>43.0</v>
      </c>
      <c r="G586" s="8">
        <v>55.0</v>
      </c>
      <c r="H586" s="9">
        <v>14.0</v>
      </c>
      <c r="I586" s="4">
        <v>44345.0</v>
      </c>
      <c r="J586" s="5" t="s">
        <v>1167</v>
      </c>
      <c r="K586" s="10" t="s">
        <v>1168</v>
      </c>
    </row>
    <row r="587">
      <c r="A587" s="7">
        <v>586.0</v>
      </c>
      <c r="B587" s="8">
        <v>6.0</v>
      </c>
      <c r="C587" s="8">
        <v>12.0</v>
      </c>
      <c r="D587" s="8">
        <v>14.0</v>
      </c>
      <c r="E587" s="8">
        <v>27.0</v>
      </c>
      <c r="F587" s="8">
        <v>43.0</v>
      </c>
      <c r="G587" s="8">
        <v>45.0</v>
      </c>
      <c r="H587" s="9">
        <v>38.0</v>
      </c>
      <c r="I587" s="4">
        <v>44348.0</v>
      </c>
      <c r="J587" s="5" t="s">
        <v>1169</v>
      </c>
      <c r="K587" s="13" t="s">
        <v>1170</v>
      </c>
    </row>
    <row r="588">
      <c r="A588" s="7">
        <v>587.0</v>
      </c>
      <c r="B588" s="8">
        <v>4.0</v>
      </c>
      <c r="C588" s="8">
        <v>8.0</v>
      </c>
      <c r="D588" s="8">
        <v>21.0</v>
      </c>
      <c r="E588" s="8">
        <v>24.0</v>
      </c>
      <c r="F588" s="8">
        <v>26.0</v>
      </c>
      <c r="G588" s="8">
        <v>47.0</v>
      </c>
      <c r="H588" s="9">
        <v>43.0</v>
      </c>
      <c r="I588" s="4">
        <v>44350.0</v>
      </c>
      <c r="J588" s="5" t="s">
        <v>1171</v>
      </c>
      <c r="K588" s="12" t="s">
        <v>1172</v>
      </c>
    </row>
    <row r="589">
      <c r="A589" s="7">
        <v>588.0</v>
      </c>
      <c r="B589" s="8">
        <v>14.0</v>
      </c>
      <c r="C589" s="8">
        <v>22.0</v>
      </c>
      <c r="D589" s="8">
        <v>25.0</v>
      </c>
      <c r="E589" s="8">
        <v>39.0</v>
      </c>
      <c r="F589" s="8">
        <v>41.0</v>
      </c>
      <c r="G589" s="8">
        <v>52.0</v>
      </c>
      <c r="H589" s="9">
        <v>17.0</v>
      </c>
      <c r="I589" s="4">
        <v>44352.0</v>
      </c>
      <c r="J589" s="5" t="s">
        <v>1173</v>
      </c>
      <c r="K589" s="13" t="s">
        <v>1174</v>
      </c>
    </row>
    <row r="590">
      <c r="A590" s="7">
        <v>589.0</v>
      </c>
      <c r="B590" s="8">
        <v>16.0</v>
      </c>
      <c r="C590" s="8">
        <v>28.0</v>
      </c>
      <c r="D590" s="8">
        <v>33.0</v>
      </c>
      <c r="E590" s="8">
        <v>41.0</v>
      </c>
      <c r="F590" s="8">
        <v>42.0</v>
      </c>
      <c r="G590" s="8">
        <v>54.0</v>
      </c>
      <c r="H590" s="9">
        <v>12.0</v>
      </c>
      <c r="I590" s="4">
        <v>44355.0</v>
      </c>
      <c r="J590" s="5" t="s">
        <v>1175</v>
      </c>
      <c r="K590" s="12" t="s">
        <v>1176</v>
      </c>
    </row>
    <row r="591">
      <c r="A591" s="7">
        <v>590.0</v>
      </c>
      <c r="B591" s="8">
        <v>11.0</v>
      </c>
      <c r="C591" s="8">
        <v>22.0</v>
      </c>
      <c r="D591" s="8">
        <v>24.0</v>
      </c>
      <c r="E591" s="8">
        <v>27.0</v>
      </c>
      <c r="F591" s="8">
        <v>43.0</v>
      </c>
      <c r="G591" s="8">
        <v>54.0</v>
      </c>
      <c r="H591" s="9">
        <v>45.0</v>
      </c>
      <c r="I591" s="4">
        <v>44357.0</v>
      </c>
      <c r="J591" s="5" t="s">
        <v>1177</v>
      </c>
      <c r="K591" s="11" t="s">
        <v>1178</v>
      </c>
    </row>
    <row r="592">
      <c r="A592" s="7">
        <v>591.0</v>
      </c>
      <c r="B592" s="8">
        <v>4.0</v>
      </c>
      <c r="C592" s="8">
        <v>16.0</v>
      </c>
      <c r="D592" s="8">
        <v>17.0</v>
      </c>
      <c r="E592" s="8">
        <v>20.0</v>
      </c>
      <c r="F592" s="8">
        <v>27.0</v>
      </c>
      <c r="G592" s="8">
        <v>44.0</v>
      </c>
      <c r="H592" s="9">
        <v>30.0</v>
      </c>
      <c r="I592" s="4">
        <v>44359.0</v>
      </c>
      <c r="J592" s="5" t="s">
        <v>1179</v>
      </c>
      <c r="K592" s="12" t="s">
        <v>1180</v>
      </c>
    </row>
    <row r="593">
      <c r="A593" s="7">
        <v>592.0</v>
      </c>
      <c r="B593" s="8">
        <v>11.0</v>
      </c>
      <c r="C593" s="8">
        <v>18.0</v>
      </c>
      <c r="D593" s="8">
        <v>21.0</v>
      </c>
      <c r="E593" s="8">
        <v>22.0</v>
      </c>
      <c r="F593" s="8">
        <v>30.0</v>
      </c>
      <c r="G593" s="8">
        <v>55.0</v>
      </c>
      <c r="H593" s="9">
        <v>35.0</v>
      </c>
      <c r="I593" s="4">
        <v>44362.0</v>
      </c>
      <c r="J593" s="5" t="s">
        <v>1181</v>
      </c>
      <c r="K593" s="11" t="s">
        <v>1182</v>
      </c>
    </row>
    <row r="594">
      <c r="A594" s="7">
        <v>593.0</v>
      </c>
      <c r="B594" s="8">
        <v>18.0</v>
      </c>
      <c r="C594" s="8">
        <v>23.0</v>
      </c>
      <c r="D594" s="8">
        <v>38.0</v>
      </c>
      <c r="E594" s="8">
        <v>41.0</v>
      </c>
      <c r="F594" s="8">
        <v>44.0</v>
      </c>
      <c r="G594" s="8">
        <v>55.0</v>
      </c>
      <c r="H594" s="9">
        <v>40.0</v>
      </c>
      <c r="I594" s="4">
        <v>44364.0</v>
      </c>
      <c r="J594" s="5" t="s">
        <v>1183</v>
      </c>
      <c r="K594" s="12" t="s">
        <v>1184</v>
      </c>
    </row>
    <row r="595">
      <c r="A595" s="7">
        <v>594.0</v>
      </c>
      <c r="B595" s="8">
        <v>1.0</v>
      </c>
      <c r="C595" s="8">
        <v>3.0</v>
      </c>
      <c r="D595" s="8">
        <v>7.0</v>
      </c>
      <c r="E595" s="8">
        <v>13.0</v>
      </c>
      <c r="F595" s="8">
        <v>28.0</v>
      </c>
      <c r="G595" s="8">
        <v>45.0</v>
      </c>
      <c r="H595" s="9">
        <v>33.0</v>
      </c>
      <c r="I595" s="4">
        <v>44366.0</v>
      </c>
      <c r="J595" s="5" t="s">
        <v>1185</v>
      </c>
      <c r="K595" s="11" t="s">
        <v>1186</v>
      </c>
    </row>
    <row r="596">
      <c r="A596" s="7">
        <v>595.0</v>
      </c>
      <c r="B596" s="8">
        <v>3.0</v>
      </c>
      <c r="C596" s="8">
        <v>9.0</v>
      </c>
      <c r="D596" s="8">
        <v>32.0</v>
      </c>
      <c r="E596" s="8">
        <v>33.0</v>
      </c>
      <c r="F596" s="8">
        <v>41.0</v>
      </c>
      <c r="G596" s="8">
        <v>43.0</v>
      </c>
      <c r="H596" s="9">
        <v>40.0</v>
      </c>
      <c r="I596" s="4">
        <v>44369.0</v>
      </c>
      <c r="J596" s="5" t="s">
        <v>1187</v>
      </c>
      <c r="K596" s="10" t="s">
        <v>1188</v>
      </c>
    </row>
    <row r="597">
      <c r="A597" s="7">
        <v>596.0</v>
      </c>
      <c r="B597" s="8">
        <v>3.0</v>
      </c>
      <c r="C597" s="8">
        <v>16.0</v>
      </c>
      <c r="D597" s="8">
        <v>17.0</v>
      </c>
      <c r="E597" s="8">
        <v>24.0</v>
      </c>
      <c r="F597" s="8">
        <v>41.0</v>
      </c>
      <c r="G597" s="8">
        <v>44.0</v>
      </c>
      <c r="H597" s="9">
        <v>37.0</v>
      </c>
      <c r="I597" s="4">
        <v>44371.0</v>
      </c>
      <c r="J597" s="5" t="s">
        <v>1189</v>
      </c>
      <c r="K597" s="13" t="s">
        <v>1190</v>
      </c>
    </row>
    <row r="598">
      <c r="A598" s="7">
        <v>597.0</v>
      </c>
      <c r="B598" s="8">
        <v>6.0</v>
      </c>
      <c r="C598" s="8">
        <v>16.0</v>
      </c>
      <c r="D598" s="8">
        <v>17.0</v>
      </c>
      <c r="E598" s="8">
        <v>20.0</v>
      </c>
      <c r="F598" s="8">
        <v>49.0</v>
      </c>
      <c r="G598" s="8">
        <v>52.0</v>
      </c>
      <c r="H598" s="9">
        <v>27.0</v>
      </c>
      <c r="I598" s="4">
        <v>44373.0</v>
      </c>
      <c r="J598" s="5" t="s">
        <v>1191</v>
      </c>
      <c r="K598" s="10" t="s">
        <v>1192</v>
      </c>
    </row>
    <row r="599">
      <c r="A599" s="7">
        <v>598.0</v>
      </c>
      <c r="B599" s="8">
        <v>5.0</v>
      </c>
      <c r="C599" s="8">
        <v>14.0</v>
      </c>
      <c r="D599" s="8">
        <v>24.0</v>
      </c>
      <c r="E599" s="8">
        <v>36.0</v>
      </c>
      <c r="F599" s="8">
        <v>44.0</v>
      </c>
      <c r="G599" s="8">
        <v>55.0</v>
      </c>
      <c r="H599" s="9">
        <v>48.0</v>
      </c>
      <c r="I599" s="4">
        <v>44376.0</v>
      </c>
      <c r="J599" s="5" t="s">
        <v>1193</v>
      </c>
      <c r="K599" s="11" t="s">
        <v>1194</v>
      </c>
    </row>
    <row r="600">
      <c r="A600" s="7">
        <v>599.0</v>
      </c>
      <c r="B600" s="8">
        <v>4.0</v>
      </c>
      <c r="C600" s="8">
        <v>15.0</v>
      </c>
      <c r="D600" s="8">
        <v>28.0</v>
      </c>
      <c r="E600" s="8">
        <v>30.0</v>
      </c>
      <c r="F600" s="8">
        <v>49.0</v>
      </c>
      <c r="G600" s="8">
        <v>52.0</v>
      </c>
      <c r="H600" s="9">
        <v>55.0</v>
      </c>
      <c r="I600" s="4">
        <v>44378.0</v>
      </c>
      <c r="J600" s="5" t="s">
        <v>1195</v>
      </c>
      <c r="K600" s="10" t="s">
        <v>1196</v>
      </c>
    </row>
    <row r="601">
      <c r="A601" s="7">
        <v>600.0</v>
      </c>
      <c r="B601" s="8">
        <v>4.0</v>
      </c>
      <c r="C601" s="8">
        <v>25.0</v>
      </c>
      <c r="D601" s="8">
        <v>30.0</v>
      </c>
      <c r="E601" s="8">
        <v>38.0</v>
      </c>
      <c r="F601" s="8">
        <v>50.0</v>
      </c>
      <c r="G601" s="8">
        <v>55.0</v>
      </c>
      <c r="H601" s="9">
        <v>53.0</v>
      </c>
      <c r="I601" s="4">
        <v>44380.0</v>
      </c>
      <c r="J601" s="5" t="s">
        <v>1197</v>
      </c>
      <c r="K601" s="11" t="s">
        <v>1198</v>
      </c>
    </row>
    <row r="602">
      <c r="A602" s="7">
        <v>601.0</v>
      </c>
      <c r="B602" s="8">
        <v>17.0</v>
      </c>
      <c r="C602" s="8">
        <v>20.0</v>
      </c>
      <c r="D602" s="8">
        <v>22.0</v>
      </c>
      <c r="E602" s="8">
        <v>24.0</v>
      </c>
      <c r="F602" s="8">
        <v>30.0</v>
      </c>
      <c r="G602" s="8">
        <v>54.0</v>
      </c>
      <c r="H602" s="9">
        <v>51.0</v>
      </c>
      <c r="I602" s="4">
        <v>44383.0</v>
      </c>
      <c r="J602" s="5" t="s">
        <v>1199</v>
      </c>
      <c r="K602" s="10" t="s">
        <v>1200</v>
      </c>
    </row>
    <row r="603">
      <c r="A603" s="7">
        <v>602.0</v>
      </c>
      <c r="B603" s="8">
        <v>3.0</v>
      </c>
      <c r="C603" s="8">
        <v>32.0</v>
      </c>
      <c r="D603" s="8">
        <v>34.0</v>
      </c>
      <c r="E603" s="8">
        <v>42.0</v>
      </c>
      <c r="F603" s="8">
        <v>44.0</v>
      </c>
      <c r="G603" s="8">
        <v>54.0</v>
      </c>
      <c r="H603" s="9">
        <v>35.0</v>
      </c>
      <c r="I603" s="4">
        <v>44385.0</v>
      </c>
      <c r="J603" s="5" t="s">
        <v>1201</v>
      </c>
      <c r="K603" s="11" t="s">
        <v>1202</v>
      </c>
    </row>
    <row r="604">
      <c r="A604" s="7">
        <v>603.0</v>
      </c>
      <c r="B604" s="8">
        <v>7.0</v>
      </c>
      <c r="C604" s="8">
        <v>8.0</v>
      </c>
      <c r="D604" s="8">
        <v>17.0</v>
      </c>
      <c r="E604" s="8">
        <v>37.0</v>
      </c>
      <c r="F604" s="8">
        <v>47.0</v>
      </c>
      <c r="G604" s="8">
        <v>48.0</v>
      </c>
      <c r="H604" s="9">
        <v>27.0</v>
      </c>
      <c r="I604" s="4">
        <v>44387.0</v>
      </c>
      <c r="J604" s="5" t="s">
        <v>1203</v>
      </c>
      <c r="K604" s="12" t="s">
        <v>1204</v>
      </c>
    </row>
    <row r="605">
      <c r="A605" s="7">
        <v>604.0</v>
      </c>
      <c r="B605" s="8">
        <v>5.0</v>
      </c>
      <c r="C605" s="8">
        <v>11.0</v>
      </c>
      <c r="D605" s="8">
        <v>18.0</v>
      </c>
      <c r="E605" s="8">
        <v>27.0</v>
      </c>
      <c r="F605" s="8">
        <v>34.0</v>
      </c>
      <c r="G605" s="8">
        <v>43.0</v>
      </c>
      <c r="H605" s="9">
        <v>42.0</v>
      </c>
      <c r="I605" s="4">
        <v>44390.0</v>
      </c>
      <c r="J605" s="5" t="s">
        <v>1205</v>
      </c>
      <c r="K605" s="11" t="s">
        <v>1206</v>
      </c>
    </row>
    <row r="606">
      <c r="A606" s="7">
        <v>605.0</v>
      </c>
      <c r="B606" s="8">
        <v>3.0</v>
      </c>
      <c r="C606" s="8">
        <v>4.0</v>
      </c>
      <c r="D606" s="8">
        <v>12.0</v>
      </c>
      <c r="E606" s="8">
        <v>16.0</v>
      </c>
      <c r="F606" s="8">
        <v>30.0</v>
      </c>
      <c r="G606" s="8">
        <v>50.0</v>
      </c>
      <c r="H606" s="9">
        <v>20.0</v>
      </c>
      <c r="I606" s="4">
        <v>44392.0</v>
      </c>
      <c r="J606" s="5" t="s">
        <v>1207</v>
      </c>
      <c r="K606" s="10" t="s">
        <v>1208</v>
      </c>
    </row>
    <row r="607">
      <c r="A607" s="7">
        <v>606.0</v>
      </c>
      <c r="B607" s="8">
        <v>2.0</v>
      </c>
      <c r="C607" s="8">
        <v>7.0</v>
      </c>
      <c r="D607" s="8">
        <v>11.0</v>
      </c>
      <c r="E607" s="8">
        <v>21.0</v>
      </c>
      <c r="F607" s="8">
        <v>31.0</v>
      </c>
      <c r="G607" s="8">
        <v>42.0</v>
      </c>
      <c r="H607" s="9">
        <v>45.0</v>
      </c>
      <c r="I607" s="4">
        <v>44394.0</v>
      </c>
      <c r="J607" s="5" t="s">
        <v>1209</v>
      </c>
      <c r="K607" s="11" t="s">
        <v>1210</v>
      </c>
    </row>
    <row r="608">
      <c r="A608" s="7">
        <v>607.0</v>
      </c>
      <c r="B608" s="8">
        <v>2.0</v>
      </c>
      <c r="C608" s="8">
        <v>8.0</v>
      </c>
      <c r="D608" s="8">
        <v>11.0</v>
      </c>
      <c r="E608" s="8">
        <v>13.0</v>
      </c>
      <c r="F608" s="8">
        <v>17.0</v>
      </c>
      <c r="G608" s="8">
        <v>26.0</v>
      </c>
      <c r="H608" s="9">
        <v>53.0</v>
      </c>
      <c r="I608" s="4">
        <v>44397.0</v>
      </c>
      <c r="J608" s="5" t="s">
        <v>1211</v>
      </c>
      <c r="K608" s="10" t="s">
        <v>1212</v>
      </c>
    </row>
    <row r="609">
      <c r="A609" s="7">
        <v>608.0</v>
      </c>
      <c r="B609" s="8">
        <v>2.0</v>
      </c>
      <c r="C609" s="8">
        <v>20.0</v>
      </c>
      <c r="D609" s="8">
        <v>24.0</v>
      </c>
      <c r="E609" s="8">
        <v>39.0</v>
      </c>
      <c r="F609" s="8">
        <v>46.0</v>
      </c>
      <c r="G609" s="8">
        <v>53.0</v>
      </c>
      <c r="H609" s="9">
        <v>55.0</v>
      </c>
      <c r="I609" s="4">
        <v>44399.0</v>
      </c>
      <c r="J609" s="5" t="s">
        <v>1213</v>
      </c>
      <c r="K609" s="11" t="s">
        <v>1214</v>
      </c>
    </row>
    <row r="610">
      <c r="A610" s="7">
        <v>609.0</v>
      </c>
      <c r="B610" s="8">
        <v>5.0</v>
      </c>
      <c r="C610" s="8">
        <v>9.0</v>
      </c>
      <c r="D610" s="8">
        <v>12.0</v>
      </c>
      <c r="E610" s="8">
        <v>20.0</v>
      </c>
      <c r="F610" s="8">
        <v>43.0</v>
      </c>
      <c r="G610" s="8">
        <v>51.0</v>
      </c>
      <c r="H610" s="9">
        <v>13.0</v>
      </c>
      <c r="I610" s="4">
        <v>44427.0</v>
      </c>
      <c r="J610" s="5" t="s">
        <v>1215</v>
      </c>
      <c r="K610" s="10" t="s">
        <v>1216</v>
      </c>
    </row>
    <row r="611">
      <c r="A611" s="7">
        <v>610.0</v>
      </c>
      <c r="B611" s="8">
        <v>22.0</v>
      </c>
      <c r="C611" s="8">
        <v>24.0</v>
      </c>
      <c r="D611" s="8">
        <v>27.0</v>
      </c>
      <c r="E611" s="8">
        <v>37.0</v>
      </c>
      <c r="F611" s="8">
        <v>38.0</v>
      </c>
      <c r="G611" s="8">
        <v>48.0</v>
      </c>
      <c r="H611" s="9">
        <v>14.0</v>
      </c>
      <c r="I611" s="4">
        <v>44429.0</v>
      </c>
      <c r="J611" s="5" t="s">
        <v>1217</v>
      </c>
      <c r="K611" s="11" t="s">
        <v>1218</v>
      </c>
    </row>
    <row r="612">
      <c r="A612" s="7">
        <v>611.0</v>
      </c>
      <c r="B612" s="8">
        <v>2.0</v>
      </c>
      <c r="C612" s="8">
        <v>4.0</v>
      </c>
      <c r="D612" s="8">
        <v>7.0</v>
      </c>
      <c r="E612" s="8">
        <v>18.0</v>
      </c>
      <c r="F612" s="8">
        <v>30.0</v>
      </c>
      <c r="G612" s="8">
        <v>35.0</v>
      </c>
      <c r="H612" s="9">
        <v>20.0</v>
      </c>
      <c r="I612" s="4">
        <v>44432.0</v>
      </c>
      <c r="J612" s="5" t="s">
        <v>1219</v>
      </c>
      <c r="K612" s="12" t="s">
        <v>1220</v>
      </c>
    </row>
    <row r="613">
      <c r="A613" s="7">
        <v>612.0</v>
      </c>
      <c r="B613" s="8">
        <v>11.0</v>
      </c>
      <c r="C613" s="8">
        <v>13.0</v>
      </c>
      <c r="D613" s="8">
        <v>20.0</v>
      </c>
      <c r="E613" s="8">
        <v>51.0</v>
      </c>
      <c r="F613" s="8">
        <v>53.0</v>
      </c>
      <c r="G613" s="8">
        <v>55.0</v>
      </c>
      <c r="H613" s="9">
        <v>4.0</v>
      </c>
      <c r="I613" s="4">
        <v>44434.0</v>
      </c>
      <c r="J613" s="5" t="s">
        <v>1221</v>
      </c>
      <c r="K613" s="11" t="s">
        <v>1222</v>
      </c>
    </row>
    <row r="614">
      <c r="A614" s="7">
        <v>613.0</v>
      </c>
      <c r="B614" s="8">
        <v>10.0</v>
      </c>
      <c r="C614" s="8">
        <v>16.0</v>
      </c>
      <c r="D614" s="8">
        <v>26.0</v>
      </c>
      <c r="E614" s="8">
        <v>27.0</v>
      </c>
      <c r="F614" s="8">
        <v>34.0</v>
      </c>
      <c r="G614" s="8">
        <v>48.0</v>
      </c>
      <c r="H614" s="9">
        <v>51.0</v>
      </c>
      <c r="I614" s="4">
        <v>44436.0</v>
      </c>
      <c r="J614" s="5" t="s">
        <v>1223</v>
      </c>
      <c r="K614" s="10" t="s">
        <v>1224</v>
      </c>
    </row>
    <row r="615">
      <c r="A615" s="7">
        <v>614.0</v>
      </c>
      <c r="B615" s="8">
        <v>7.0</v>
      </c>
      <c r="C615" s="8">
        <v>20.0</v>
      </c>
      <c r="D615" s="8">
        <v>37.0</v>
      </c>
      <c r="E615" s="8">
        <v>47.0</v>
      </c>
      <c r="F615" s="8">
        <v>51.0</v>
      </c>
      <c r="G615" s="8">
        <v>53.0</v>
      </c>
      <c r="H615" s="9">
        <v>5.0</v>
      </c>
      <c r="I615" s="4">
        <v>44439.0</v>
      </c>
      <c r="J615" s="5" t="s">
        <v>1225</v>
      </c>
      <c r="K615" s="11" t="s">
        <v>1226</v>
      </c>
    </row>
    <row r="616">
      <c r="A616" s="7">
        <v>615.0</v>
      </c>
      <c r="B616" s="8">
        <v>1.0</v>
      </c>
      <c r="C616" s="8">
        <v>8.0</v>
      </c>
      <c r="D616" s="8">
        <v>12.0</v>
      </c>
      <c r="E616" s="8">
        <v>26.0</v>
      </c>
      <c r="F616" s="8">
        <v>28.0</v>
      </c>
      <c r="G616" s="8">
        <v>45.0</v>
      </c>
      <c r="H616" s="9">
        <v>43.0</v>
      </c>
      <c r="I616" s="4">
        <v>44441.0</v>
      </c>
      <c r="J616" s="5" t="s">
        <v>1227</v>
      </c>
      <c r="K616" s="10" t="s">
        <v>1228</v>
      </c>
    </row>
    <row r="617">
      <c r="A617" s="7">
        <v>616.0</v>
      </c>
      <c r="B617" s="8">
        <v>11.0</v>
      </c>
      <c r="C617" s="8">
        <v>12.0</v>
      </c>
      <c r="D617" s="8">
        <v>32.0</v>
      </c>
      <c r="E617" s="8">
        <v>42.0</v>
      </c>
      <c r="F617" s="8">
        <v>43.0</v>
      </c>
      <c r="G617" s="8">
        <v>51.0</v>
      </c>
      <c r="H617" s="9">
        <v>31.0</v>
      </c>
      <c r="I617" s="4">
        <v>44443.0</v>
      </c>
      <c r="J617" s="5" t="s">
        <v>1229</v>
      </c>
      <c r="K617" s="11" t="s">
        <v>1230</v>
      </c>
    </row>
    <row r="618">
      <c r="A618" s="7">
        <v>617.0</v>
      </c>
      <c r="B618" s="8">
        <v>19.0</v>
      </c>
      <c r="C618" s="8">
        <v>30.0</v>
      </c>
      <c r="D618" s="8">
        <v>35.0</v>
      </c>
      <c r="E618" s="8">
        <v>43.0</v>
      </c>
      <c r="F618" s="8">
        <v>47.0</v>
      </c>
      <c r="G618" s="8">
        <v>55.0</v>
      </c>
      <c r="H618" s="9">
        <v>12.0</v>
      </c>
      <c r="I618" s="4">
        <v>44446.0</v>
      </c>
      <c r="J618" s="5" t="s">
        <v>1231</v>
      </c>
      <c r="K618" s="10" t="s">
        <v>1232</v>
      </c>
    </row>
    <row r="619">
      <c r="A619" s="7">
        <v>618.0</v>
      </c>
      <c r="B619" s="8">
        <v>6.0</v>
      </c>
      <c r="C619" s="8">
        <v>8.0</v>
      </c>
      <c r="D619" s="8">
        <v>10.0</v>
      </c>
      <c r="E619" s="8">
        <v>23.0</v>
      </c>
      <c r="F619" s="8">
        <v>39.0</v>
      </c>
      <c r="G619" s="8">
        <v>44.0</v>
      </c>
      <c r="H619" s="9">
        <v>43.0</v>
      </c>
      <c r="I619" s="4">
        <v>44448.0</v>
      </c>
      <c r="J619" s="5" t="s">
        <v>1233</v>
      </c>
      <c r="K619" s="11" t="s">
        <v>1234</v>
      </c>
    </row>
    <row r="620">
      <c r="A620" s="7">
        <v>619.0</v>
      </c>
      <c r="B620" s="8">
        <v>8.0</v>
      </c>
      <c r="C620" s="8">
        <v>17.0</v>
      </c>
      <c r="D620" s="8">
        <v>20.0</v>
      </c>
      <c r="E620" s="8">
        <v>36.0</v>
      </c>
      <c r="F620" s="8">
        <v>39.0</v>
      </c>
      <c r="G620" s="8">
        <v>44.0</v>
      </c>
      <c r="H620" s="9">
        <v>30.0</v>
      </c>
      <c r="I620" s="4">
        <v>44450.0</v>
      </c>
      <c r="J620" s="5" t="s">
        <v>1235</v>
      </c>
      <c r="K620" s="10" t="s">
        <v>1236</v>
      </c>
    </row>
    <row r="621">
      <c r="A621" s="7">
        <v>620.0</v>
      </c>
      <c r="B621" s="8">
        <v>17.0</v>
      </c>
      <c r="C621" s="8">
        <v>22.0</v>
      </c>
      <c r="D621" s="8">
        <v>30.0</v>
      </c>
      <c r="E621" s="8">
        <v>40.0</v>
      </c>
      <c r="F621" s="8">
        <v>43.0</v>
      </c>
      <c r="G621" s="8">
        <v>44.0</v>
      </c>
      <c r="H621" s="9">
        <v>41.0</v>
      </c>
      <c r="I621" s="4">
        <v>44453.0</v>
      </c>
      <c r="J621" s="5" t="s">
        <v>1237</v>
      </c>
      <c r="K621" s="11" t="s">
        <v>1238</v>
      </c>
    </row>
    <row r="622">
      <c r="A622" s="7">
        <v>621.0</v>
      </c>
      <c r="B622" s="8">
        <v>10.0</v>
      </c>
      <c r="C622" s="8">
        <v>16.0</v>
      </c>
      <c r="D622" s="8">
        <v>40.0</v>
      </c>
      <c r="E622" s="8">
        <v>43.0</v>
      </c>
      <c r="F622" s="8">
        <v>45.0</v>
      </c>
      <c r="G622" s="8">
        <v>46.0</v>
      </c>
      <c r="H622" s="9">
        <v>22.0</v>
      </c>
      <c r="I622" s="4">
        <v>44455.0</v>
      </c>
      <c r="J622" s="5" t="s">
        <v>1239</v>
      </c>
      <c r="K622" s="10" t="s">
        <v>1240</v>
      </c>
    </row>
    <row r="623">
      <c r="A623" s="7">
        <v>622.0</v>
      </c>
      <c r="B623" s="8">
        <v>3.0</v>
      </c>
      <c r="C623" s="8">
        <v>14.0</v>
      </c>
      <c r="D623" s="8">
        <v>15.0</v>
      </c>
      <c r="E623" s="8">
        <v>21.0</v>
      </c>
      <c r="F623" s="8">
        <v>47.0</v>
      </c>
      <c r="G623" s="8">
        <v>52.0</v>
      </c>
      <c r="H623" s="9">
        <v>54.0</v>
      </c>
      <c r="I623" s="4">
        <v>44457.0</v>
      </c>
      <c r="J623" s="5" t="s">
        <v>1241</v>
      </c>
      <c r="K623" s="11" t="s">
        <v>1242</v>
      </c>
    </row>
    <row r="624">
      <c r="A624" s="7">
        <v>623.0</v>
      </c>
      <c r="B624" s="8">
        <v>15.0</v>
      </c>
      <c r="C624" s="8">
        <v>24.0</v>
      </c>
      <c r="D624" s="8">
        <v>25.0</v>
      </c>
      <c r="E624" s="8">
        <v>40.0</v>
      </c>
      <c r="F624" s="8">
        <v>42.0</v>
      </c>
      <c r="G624" s="8">
        <v>50.0</v>
      </c>
      <c r="H624" s="9">
        <v>49.0</v>
      </c>
      <c r="I624" s="4">
        <v>44460.0</v>
      </c>
      <c r="J624" s="5" t="s">
        <v>1243</v>
      </c>
      <c r="K624" s="10" t="s">
        <v>1244</v>
      </c>
    </row>
    <row r="625">
      <c r="A625" s="7">
        <v>624.0</v>
      </c>
      <c r="B625" s="8">
        <v>6.0</v>
      </c>
      <c r="C625" s="8">
        <v>7.0</v>
      </c>
      <c r="D625" s="8">
        <v>21.0</v>
      </c>
      <c r="E625" s="8">
        <v>25.0</v>
      </c>
      <c r="F625" s="8">
        <v>27.0</v>
      </c>
      <c r="G625" s="8">
        <v>49.0</v>
      </c>
      <c r="H625" s="9">
        <v>26.0</v>
      </c>
      <c r="I625" s="4">
        <v>44462.0</v>
      </c>
      <c r="J625" s="5" t="s">
        <v>1245</v>
      </c>
      <c r="K625" s="11" t="s">
        <v>1246</v>
      </c>
    </row>
    <row r="626">
      <c r="A626" s="7">
        <v>625.0</v>
      </c>
      <c r="B626" s="8">
        <v>7.0</v>
      </c>
      <c r="C626" s="8">
        <v>20.0</v>
      </c>
      <c r="D626" s="8">
        <v>27.0</v>
      </c>
      <c r="E626" s="8">
        <v>43.0</v>
      </c>
      <c r="F626" s="8">
        <v>48.0</v>
      </c>
      <c r="G626" s="8">
        <v>51.0</v>
      </c>
      <c r="H626" s="9">
        <v>37.0</v>
      </c>
      <c r="I626" s="4">
        <v>44464.0</v>
      </c>
      <c r="J626" s="5" t="s">
        <v>1247</v>
      </c>
      <c r="K626" s="12" t="s">
        <v>1248</v>
      </c>
    </row>
    <row r="627">
      <c r="A627" s="7">
        <v>626.0</v>
      </c>
      <c r="B627" s="8">
        <v>7.0</v>
      </c>
      <c r="C627" s="8">
        <v>22.0</v>
      </c>
      <c r="D627" s="8">
        <v>25.0</v>
      </c>
      <c r="E627" s="8">
        <v>40.0</v>
      </c>
      <c r="F627" s="8">
        <v>49.0</v>
      </c>
      <c r="G627" s="8">
        <v>50.0</v>
      </c>
      <c r="H627" s="9">
        <v>37.0</v>
      </c>
      <c r="I627" s="4">
        <v>44467.0</v>
      </c>
      <c r="J627" s="5" t="s">
        <v>1249</v>
      </c>
      <c r="K627" s="11" t="s">
        <v>1250</v>
      </c>
    </row>
    <row r="628">
      <c r="A628" s="7">
        <v>627.0</v>
      </c>
      <c r="B628" s="8">
        <v>18.0</v>
      </c>
      <c r="C628" s="8">
        <v>23.0</v>
      </c>
      <c r="D628" s="8">
        <v>26.0</v>
      </c>
      <c r="E628" s="8">
        <v>32.0</v>
      </c>
      <c r="F628" s="8">
        <v>46.0</v>
      </c>
      <c r="G628" s="8">
        <v>49.0</v>
      </c>
      <c r="H628" s="9">
        <v>54.0</v>
      </c>
      <c r="I628" s="4">
        <v>44469.0</v>
      </c>
      <c r="J628" s="5" t="s">
        <v>1251</v>
      </c>
      <c r="K628" s="10" t="s">
        <v>1252</v>
      </c>
    </row>
    <row r="629">
      <c r="A629" s="7">
        <v>628.0</v>
      </c>
      <c r="B629" s="8">
        <v>5.0</v>
      </c>
      <c r="C629" s="8">
        <v>6.0</v>
      </c>
      <c r="D629" s="8">
        <v>22.0</v>
      </c>
      <c r="E629" s="8">
        <v>26.0</v>
      </c>
      <c r="F629" s="8">
        <v>49.0</v>
      </c>
      <c r="G629" s="8">
        <v>51.0</v>
      </c>
      <c r="H629" s="9">
        <v>32.0</v>
      </c>
      <c r="I629" s="4">
        <v>44471.0</v>
      </c>
      <c r="J629" s="5" t="s">
        <v>1253</v>
      </c>
      <c r="K629" s="11" t="s">
        <v>1254</v>
      </c>
    </row>
    <row r="630">
      <c r="A630" s="7">
        <v>629.0</v>
      </c>
      <c r="B630" s="8">
        <v>11.0</v>
      </c>
      <c r="C630" s="8">
        <v>16.0</v>
      </c>
      <c r="D630" s="8">
        <v>17.0</v>
      </c>
      <c r="E630" s="8">
        <v>19.0</v>
      </c>
      <c r="F630" s="8">
        <v>38.0</v>
      </c>
      <c r="G630" s="8">
        <v>43.0</v>
      </c>
      <c r="H630" s="9">
        <v>24.0</v>
      </c>
      <c r="I630" s="4">
        <v>44474.0</v>
      </c>
      <c r="J630" s="5" t="s">
        <v>1255</v>
      </c>
      <c r="K630" s="10" t="s">
        <v>1256</v>
      </c>
    </row>
    <row r="631">
      <c r="A631" s="7">
        <v>630.0</v>
      </c>
      <c r="B631" s="8">
        <v>6.0</v>
      </c>
      <c r="C631" s="8">
        <v>15.0</v>
      </c>
      <c r="D631" s="8">
        <v>21.0</v>
      </c>
      <c r="E631" s="8">
        <v>24.0</v>
      </c>
      <c r="F631" s="8">
        <v>45.0</v>
      </c>
      <c r="G631" s="8">
        <v>55.0</v>
      </c>
      <c r="H631" s="9">
        <v>46.0</v>
      </c>
      <c r="I631" s="4">
        <v>44476.0</v>
      </c>
      <c r="J631" s="5" t="s">
        <v>1257</v>
      </c>
      <c r="K631" s="11" t="s">
        <v>1258</v>
      </c>
    </row>
    <row r="632">
      <c r="A632" s="7">
        <v>631.0</v>
      </c>
      <c r="B632" s="8">
        <v>1.0</v>
      </c>
      <c r="C632" s="8">
        <v>22.0</v>
      </c>
      <c r="D632" s="8">
        <v>25.0</v>
      </c>
      <c r="E632" s="8">
        <v>38.0</v>
      </c>
      <c r="F632" s="8">
        <v>39.0</v>
      </c>
      <c r="G632" s="8">
        <v>54.0</v>
      </c>
      <c r="H632" s="9">
        <v>19.0</v>
      </c>
      <c r="I632" s="4">
        <v>44478.0</v>
      </c>
      <c r="J632" s="5" t="s">
        <v>1259</v>
      </c>
      <c r="K632" s="10" t="s">
        <v>1260</v>
      </c>
    </row>
    <row r="633">
      <c r="A633" s="7">
        <v>632.0</v>
      </c>
      <c r="B633" s="8">
        <v>14.0</v>
      </c>
      <c r="C633" s="8">
        <v>17.0</v>
      </c>
      <c r="D633" s="8">
        <v>31.0</v>
      </c>
      <c r="E633" s="8">
        <v>33.0</v>
      </c>
      <c r="F633" s="8">
        <v>42.0</v>
      </c>
      <c r="G633" s="8">
        <v>50.0</v>
      </c>
      <c r="H633" s="9">
        <v>40.0</v>
      </c>
      <c r="I633" s="4">
        <v>44481.0</v>
      </c>
      <c r="J633" s="5" t="s">
        <v>1261</v>
      </c>
      <c r="K633" s="11" t="s">
        <v>1262</v>
      </c>
    </row>
    <row r="634">
      <c r="A634" s="7">
        <v>633.0</v>
      </c>
      <c r="B634" s="8">
        <v>9.0</v>
      </c>
      <c r="C634" s="8">
        <v>21.0</v>
      </c>
      <c r="D634" s="8">
        <v>24.0</v>
      </c>
      <c r="E634" s="8">
        <v>30.0</v>
      </c>
      <c r="F634" s="8">
        <v>41.0</v>
      </c>
      <c r="G634" s="8">
        <v>44.0</v>
      </c>
      <c r="H634" s="9">
        <v>40.0</v>
      </c>
      <c r="I634" s="4">
        <v>44483.0</v>
      </c>
      <c r="J634" s="5" t="s">
        <v>1263</v>
      </c>
      <c r="K634" s="10" t="s">
        <v>1264</v>
      </c>
    </row>
    <row r="635">
      <c r="A635" s="7">
        <v>634.0</v>
      </c>
      <c r="B635" s="8">
        <v>9.0</v>
      </c>
      <c r="C635" s="8">
        <v>17.0</v>
      </c>
      <c r="D635" s="8">
        <v>22.0</v>
      </c>
      <c r="E635" s="8">
        <v>28.0</v>
      </c>
      <c r="F635" s="8">
        <v>50.0</v>
      </c>
      <c r="G635" s="8">
        <v>55.0</v>
      </c>
      <c r="H635" s="9">
        <v>7.0</v>
      </c>
      <c r="I635" s="4">
        <v>44485.0</v>
      </c>
      <c r="J635" s="5" t="s">
        <v>1265</v>
      </c>
      <c r="K635" s="13" t="s">
        <v>1266</v>
      </c>
    </row>
    <row r="636">
      <c r="A636" s="7">
        <v>635.0</v>
      </c>
      <c r="B636" s="8">
        <v>3.0</v>
      </c>
      <c r="C636" s="8">
        <v>9.0</v>
      </c>
      <c r="D636" s="8">
        <v>25.0</v>
      </c>
      <c r="E636" s="8">
        <v>29.0</v>
      </c>
      <c r="F636" s="8">
        <v>46.0</v>
      </c>
      <c r="G636" s="8">
        <v>50.0</v>
      </c>
      <c r="H636" s="9">
        <v>18.0</v>
      </c>
      <c r="I636" s="4">
        <v>44488.0</v>
      </c>
      <c r="J636" s="5" t="s">
        <v>1267</v>
      </c>
      <c r="K636" s="12" t="s">
        <v>1268</v>
      </c>
    </row>
    <row r="637">
      <c r="A637" s="7">
        <v>636.0</v>
      </c>
      <c r="B637" s="8">
        <v>3.0</v>
      </c>
      <c r="C637" s="8">
        <v>19.0</v>
      </c>
      <c r="D637" s="8">
        <v>32.0</v>
      </c>
      <c r="E637" s="8">
        <v>36.0</v>
      </c>
      <c r="F637" s="8">
        <v>41.0</v>
      </c>
      <c r="G637" s="8">
        <v>51.0</v>
      </c>
      <c r="H637" s="9">
        <v>35.0</v>
      </c>
      <c r="I637" s="4">
        <v>44490.0</v>
      </c>
      <c r="J637" s="5" t="s">
        <v>1269</v>
      </c>
      <c r="K637" s="11" t="s">
        <v>1270</v>
      </c>
    </row>
    <row r="638">
      <c r="A638" s="7">
        <v>637.0</v>
      </c>
      <c r="B638" s="8">
        <v>5.0</v>
      </c>
      <c r="C638" s="8">
        <v>11.0</v>
      </c>
      <c r="D638" s="8">
        <v>19.0</v>
      </c>
      <c r="E638" s="8">
        <v>26.0</v>
      </c>
      <c r="F638" s="8">
        <v>28.0</v>
      </c>
      <c r="G638" s="8">
        <v>33.0</v>
      </c>
      <c r="H638" s="9">
        <v>9.0</v>
      </c>
      <c r="I638" s="4">
        <v>44492.0</v>
      </c>
      <c r="J638" s="5" t="s">
        <v>1271</v>
      </c>
      <c r="K638" s="12" t="s">
        <v>1272</v>
      </c>
    </row>
    <row r="639">
      <c r="A639" s="7">
        <v>638.0</v>
      </c>
      <c r="B639" s="8">
        <v>21.0</v>
      </c>
      <c r="C639" s="8">
        <v>24.0</v>
      </c>
      <c r="D639" s="8">
        <v>29.0</v>
      </c>
      <c r="E639" s="8">
        <v>34.0</v>
      </c>
      <c r="F639" s="8">
        <v>39.0</v>
      </c>
      <c r="G639" s="8">
        <v>53.0</v>
      </c>
      <c r="H639" s="9">
        <v>20.0</v>
      </c>
      <c r="I639" s="4">
        <v>44495.0</v>
      </c>
      <c r="J639" s="5" t="s">
        <v>1273</v>
      </c>
      <c r="K639" s="11" t="s">
        <v>1274</v>
      </c>
    </row>
    <row r="640">
      <c r="A640" s="7">
        <v>639.0</v>
      </c>
      <c r="B640" s="8">
        <v>2.0</v>
      </c>
      <c r="C640" s="8">
        <v>4.0</v>
      </c>
      <c r="D640" s="8">
        <v>6.0</v>
      </c>
      <c r="E640" s="8">
        <v>13.0</v>
      </c>
      <c r="F640" s="8">
        <v>31.0</v>
      </c>
      <c r="G640" s="8">
        <v>35.0</v>
      </c>
      <c r="H640" s="9">
        <v>16.0</v>
      </c>
      <c r="I640" s="4">
        <v>44497.0</v>
      </c>
      <c r="J640" s="5" t="s">
        <v>1275</v>
      </c>
      <c r="K640" s="10" t="s">
        <v>1276</v>
      </c>
    </row>
    <row r="641">
      <c r="A641" s="7">
        <v>640.0</v>
      </c>
      <c r="B641" s="8">
        <v>31.0</v>
      </c>
      <c r="C641" s="8">
        <v>36.0</v>
      </c>
      <c r="D641" s="8">
        <v>40.0</v>
      </c>
      <c r="E641" s="8">
        <v>44.0</v>
      </c>
      <c r="F641" s="8">
        <v>50.0</v>
      </c>
      <c r="G641" s="8">
        <v>53.0</v>
      </c>
      <c r="H641" s="9">
        <v>11.0</v>
      </c>
      <c r="I641" s="4">
        <v>44499.0</v>
      </c>
      <c r="J641" s="5" t="s">
        <v>1277</v>
      </c>
      <c r="K641" s="13" t="s">
        <v>1278</v>
      </c>
    </row>
    <row r="642">
      <c r="A642" s="7">
        <v>641.0</v>
      </c>
      <c r="B642" s="8">
        <v>37.0</v>
      </c>
      <c r="C642" s="8">
        <v>38.0</v>
      </c>
      <c r="D642" s="8">
        <v>42.0</v>
      </c>
      <c r="E642" s="8">
        <v>46.0</v>
      </c>
      <c r="F642" s="8">
        <v>47.0</v>
      </c>
      <c r="G642" s="8">
        <v>55.0</v>
      </c>
      <c r="H642" s="9">
        <v>23.0</v>
      </c>
      <c r="I642" s="4">
        <v>44502.0</v>
      </c>
      <c r="J642" s="5" t="s">
        <v>1279</v>
      </c>
      <c r="K642" s="10" t="s">
        <v>1280</v>
      </c>
    </row>
    <row r="643">
      <c r="A643" s="7">
        <v>642.0</v>
      </c>
      <c r="B643" s="8">
        <v>5.0</v>
      </c>
      <c r="C643" s="8">
        <v>10.0</v>
      </c>
      <c r="D643" s="8">
        <v>15.0</v>
      </c>
      <c r="E643" s="8">
        <v>31.0</v>
      </c>
      <c r="F643" s="8">
        <v>32.0</v>
      </c>
      <c r="G643" s="8">
        <v>50.0</v>
      </c>
      <c r="H643" s="9">
        <v>28.0</v>
      </c>
      <c r="I643" s="4">
        <v>44504.0</v>
      </c>
      <c r="J643" s="5" t="s">
        <v>1281</v>
      </c>
      <c r="K643" s="13" t="s">
        <v>1282</v>
      </c>
    </row>
    <row r="644">
      <c r="A644" s="7">
        <v>643.0</v>
      </c>
      <c r="B644" s="8">
        <v>23.0</v>
      </c>
      <c r="C644" s="8">
        <v>31.0</v>
      </c>
      <c r="D644" s="8">
        <v>41.0</v>
      </c>
      <c r="E644" s="8">
        <v>48.0</v>
      </c>
      <c r="F644" s="8">
        <v>49.0</v>
      </c>
      <c r="G644" s="8">
        <v>51.0</v>
      </c>
      <c r="H644" s="9">
        <v>3.0</v>
      </c>
      <c r="I644" s="4">
        <v>44506.0</v>
      </c>
      <c r="J644" s="5" t="s">
        <v>1283</v>
      </c>
      <c r="K644" s="10" t="s">
        <v>1284</v>
      </c>
    </row>
    <row r="645">
      <c r="A645" s="7">
        <v>644.0</v>
      </c>
      <c r="B645" s="8">
        <v>12.0</v>
      </c>
      <c r="C645" s="8">
        <v>25.0</v>
      </c>
      <c r="D645" s="8">
        <v>26.0</v>
      </c>
      <c r="E645" s="8">
        <v>47.0</v>
      </c>
      <c r="F645" s="8">
        <v>51.0</v>
      </c>
      <c r="G645" s="8">
        <v>53.0</v>
      </c>
      <c r="H645" s="9">
        <v>16.0</v>
      </c>
      <c r="I645" s="4">
        <v>44509.0</v>
      </c>
      <c r="J645" s="5" t="s">
        <v>1285</v>
      </c>
      <c r="K645" s="13" t="s">
        <v>1286</v>
      </c>
    </row>
    <row r="646">
      <c r="A646" s="7">
        <v>645.0</v>
      </c>
      <c r="B646" s="8">
        <v>3.0</v>
      </c>
      <c r="C646" s="8">
        <v>35.0</v>
      </c>
      <c r="D646" s="8">
        <v>37.0</v>
      </c>
      <c r="E646" s="8">
        <v>41.0</v>
      </c>
      <c r="F646" s="8">
        <v>45.0</v>
      </c>
      <c r="G646" s="8">
        <v>49.0</v>
      </c>
      <c r="H646" s="9">
        <v>31.0</v>
      </c>
      <c r="I646" s="4">
        <v>44511.0</v>
      </c>
      <c r="J646" s="5" t="s">
        <v>1287</v>
      </c>
      <c r="K646" s="12" t="s">
        <v>1288</v>
      </c>
    </row>
    <row r="647">
      <c r="A647" s="7">
        <v>646.0</v>
      </c>
      <c r="B647" s="8">
        <v>18.0</v>
      </c>
      <c r="C647" s="8">
        <v>22.0</v>
      </c>
      <c r="D647" s="8">
        <v>29.0</v>
      </c>
      <c r="E647" s="8">
        <v>33.0</v>
      </c>
      <c r="F647" s="8">
        <v>46.0</v>
      </c>
      <c r="G647" s="8">
        <v>48.0</v>
      </c>
      <c r="H647" s="9">
        <v>37.0</v>
      </c>
      <c r="I647" s="4">
        <v>44513.0</v>
      </c>
      <c r="J647" s="5" t="s">
        <v>1289</v>
      </c>
      <c r="K647" s="11" t="s">
        <v>1290</v>
      </c>
    </row>
    <row r="648">
      <c r="A648" s="7">
        <v>647.0</v>
      </c>
      <c r="B648" s="8">
        <v>8.0</v>
      </c>
      <c r="C648" s="8">
        <v>19.0</v>
      </c>
      <c r="D648" s="8">
        <v>27.0</v>
      </c>
      <c r="E648" s="8">
        <v>34.0</v>
      </c>
      <c r="F648" s="8">
        <v>46.0</v>
      </c>
      <c r="G648" s="8">
        <v>51.0</v>
      </c>
      <c r="H648" s="9">
        <v>2.0</v>
      </c>
      <c r="I648" s="4">
        <v>44516.0</v>
      </c>
      <c r="J648" s="5" t="s">
        <v>1291</v>
      </c>
      <c r="K648" s="10" t="s">
        <v>1292</v>
      </c>
    </row>
    <row r="649">
      <c r="A649" s="7">
        <v>648.0</v>
      </c>
      <c r="B649" s="8">
        <v>18.0</v>
      </c>
      <c r="C649" s="8">
        <v>30.0</v>
      </c>
      <c r="D649" s="8">
        <v>32.0</v>
      </c>
      <c r="E649" s="8">
        <v>37.0</v>
      </c>
      <c r="F649" s="8">
        <v>39.0</v>
      </c>
      <c r="G649" s="8">
        <v>40.0</v>
      </c>
      <c r="H649" s="9">
        <v>10.0</v>
      </c>
      <c r="I649" s="4">
        <v>44518.0</v>
      </c>
      <c r="J649" s="5" t="s">
        <v>1293</v>
      </c>
      <c r="K649" s="11" t="s">
        <v>1294</v>
      </c>
    </row>
    <row r="650">
      <c r="A650" s="7">
        <v>649.0</v>
      </c>
      <c r="B650" s="8">
        <v>6.0</v>
      </c>
      <c r="C650" s="8">
        <v>10.0</v>
      </c>
      <c r="D650" s="8">
        <v>29.0</v>
      </c>
      <c r="E650" s="8">
        <v>30.0</v>
      </c>
      <c r="F650" s="8">
        <v>31.0</v>
      </c>
      <c r="G650" s="8">
        <v>51.0</v>
      </c>
      <c r="H650" s="9">
        <v>35.0</v>
      </c>
      <c r="I650" s="4">
        <v>44520.0</v>
      </c>
      <c r="J650" s="5" t="s">
        <v>1295</v>
      </c>
      <c r="K650" s="10" t="s">
        <v>1296</v>
      </c>
    </row>
    <row r="651">
      <c r="A651" s="7">
        <v>650.0</v>
      </c>
      <c r="B651" s="8">
        <v>5.0</v>
      </c>
      <c r="C651" s="8">
        <v>7.0</v>
      </c>
      <c r="D651" s="8">
        <v>9.0</v>
      </c>
      <c r="E651" s="8">
        <v>28.0</v>
      </c>
      <c r="F651" s="8">
        <v>38.0</v>
      </c>
      <c r="G651" s="8">
        <v>55.0</v>
      </c>
      <c r="H651" s="9">
        <v>50.0</v>
      </c>
      <c r="I651" s="4">
        <v>44523.0</v>
      </c>
      <c r="J651" s="5" t="s">
        <v>1297</v>
      </c>
      <c r="K651" s="13" t="s">
        <v>1298</v>
      </c>
    </row>
    <row r="652">
      <c r="A652" s="7">
        <v>651.0</v>
      </c>
      <c r="B652" s="8">
        <v>16.0</v>
      </c>
      <c r="C652" s="8">
        <v>18.0</v>
      </c>
      <c r="D652" s="8">
        <v>24.0</v>
      </c>
      <c r="E652" s="8">
        <v>29.0</v>
      </c>
      <c r="F652" s="8">
        <v>33.0</v>
      </c>
      <c r="G652" s="8">
        <v>41.0</v>
      </c>
      <c r="H652" s="9">
        <v>43.0</v>
      </c>
      <c r="I652" s="4">
        <v>44525.0</v>
      </c>
      <c r="J652" s="5" t="s">
        <v>1299</v>
      </c>
      <c r="K652" s="10" t="s">
        <v>1300</v>
      </c>
    </row>
    <row r="653">
      <c r="A653" s="7">
        <v>652.0</v>
      </c>
      <c r="B653" s="8">
        <v>2.0</v>
      </c>
      <c r="C653" s="8">
        <v>5.0</v>
      </c>
      <c r="D653" s="8">
        <v>7.0</v>
      </c>
      <c r="E653" s="8">
        <v>21.0</v>
      </c>
      <c r="F653" s="8">
        <v>31.0</v>
      </c>
      <c r="G653" s="8">
        <v>37.0</v>
      </c>
      <c r="H653" s="9">
        <v>44.0</v>
      </c>
      <c r="I653" s="4">
        <v>44527.0</v>
      </c>
      <c r="J653" s="5" t="s">
        <v>1301</v>
      </c>
      <c r="K653" s="13" t="s">
        <v>1302</v>
      </c>
    </row>
    <row r="654">
      <c r="A654" s="7">
        <v>653.0</v>
      </c>
      <c r="B654" s="8">
        <v>12.0</v>
      </c>
      <c r="C654" s="8">
        <v>21.0</v>
      </c>
      <c r="D654" s="8">
        <v>23.0</v>
      </c>
      <c r="E654" s="8">
        <v>28.0</v>
      </c>
      <c r="F654" s="8">
        <v>33.0</v>
      </c>
      <c r="G654" s="8">
        <v>46.0</v>
      </c>
      <c r="H654" s="9">
        <v>38.0</v>
      </c>
      <c r="I654" s="4">
        <v>44530.0</v>
      </c>
      <c r="J654" s="5" t="s">
        <v>1303</v>
      </c>
      <c r="K654" s="10" t="s">
        <v>1304</v>
      </c>
    </row>
    <row r="655">
      <c r="A655" s="7">
        <v>654.0</v>
      </c>
      <c r="B655" s="8">
        <v>6.0</v>
      </c>
      <c r="C655" s="8">
        <v>23.0</v>
      </c>
      <c r="D655" s="8">
        <v>28.0</v>
      </c>
      <c r="E655" s="8">
        <v>31.0</v>
      </c>
      <c r="F655" s="8">
        <v>44.0</v>
      </c>
      <c r="G655" s="8">
        <v>48.0</v>
      </c>
      <c r="H655" s="9">
        <v>14.0</v>
      </c>
      <c r="I655" s="4">
        <v>44532.0</v>
      </c>
      <c r="J655" s="5" t="s">
        <v>1305</v>
      </c>
      <c r="K655" s="11" t="s">
        <v>1306</v>
      </c>
    </row>
    <row r="656">
      <c r="A656" s="7">
        <v>655.0</v>
      </c>
      <c r="B656" s="8">
        <v>7.0</v>
      </c>
      <c r="C656" s="8">
        <v>9.0</v>
      </c>
      <c r="D656" s="8">
        <v>31.0</v>
      </c>
      <c r="E656" s="8">
        <v>32.0</v>
      </c>
      <c r="F656" s="8">
        <v>36.0</v>
      </c>
      <c r="G656" s="8">
        <v>49.0</v>
      </c>
      <c r="H656" s="9">
        <v>37.0</v>
      </c>
      <c r="I656" s="4">
        <v>44534.0</v>
      </c>
      <c r="J656" s="5" t="s">
        <v>1307</v>
      </c>
      <c r="K656" s="10" t="s">
        <v>1308</v>
      </c>
    </row>
    <row r="657">
      <c r="A657" s="7">
        <v>656.0</v>
      </c>
      <c r="B657" s="8">
        <v>4.0</v>
      </c>
      <c r="C657" s="8">
        <v>6.0</v>
      </c>
      <c r="D657" s="8">
        <v>22.0</v>
      </c>
      <c r="E657" s="8">
        <v>32.0</v>
      </c>
      <c r="F657" s="8">
        <v>34.0</v>
      </c>
      <c r="G657" s="8">
        <v>53.0</v>
      </c>
      <c r="H657" s="9">
        <v>41.0</v>
      </c>
      <c r="I657" s="4">
        <v>44537.0</v>
      </c>
      <c r="J657" s="5" t="s">
        <v>1309</v>
      </c>
      <c r="K657" s="13" t="s">
        <v>1310</v>
      </c>
    </row>
    <row r="658">
      <c r="A658" s="7">
        <v>657.0</v>
      </c>
      <c r="B658" s="8">
        <v>3.0</v>
      </c>
      <c r="C658" s="8">
        <v>14.0</v>
      </c>
      <c r="D658" s="8">
        <v>33.0</v>
      </c>
      <c r="E658" s="8">
        <v>40.0</v>
      </c>
      <c r="F658" s="8">
        <v>41.0</v>
      </c>
      <c r="G658" s="8">
        <v>50.0</v>
      </c>
      <c r="H658" s="9">
        <v>17.0</v>
      </c>
      <c r="I658" s="4">
        <v>44539.0</v>
      </c>
      <c r="J658" s="5" t="s">
        <v>1311</v>
      </c>
      <c r="K658" s="12" t="s">
        <v>1312</v>
      </c>
    </row>
    <row r="659">
      <c r="A659" s="7">
        <v>658.0</v>
      </c>
      <c r="B659" s="8">
        <v>8.0</v>
      </c>
      <c r="C659" s="8">
        <v>13.0</v>
      </c>
      <c r="D659" s="8">
        <v>17.0</v>
      </c>
      <c r="E659" s="8">
        <v>22.0</v>
      </c>
      <c r="F659" s="8">
        <v>42.0</v>
      </c>
      <c r="G659" s="8">
        <v>51.0</v>
      </c>
      <c r="H659" s="9">
        <v>45.0</v>
      </c>
      <c r="I659" s="4">
        <v>44541.0</v>
      </c>
      <c r="J659" s="5" t="s">
        <v>1313</v>
      </c>
      <c r="K659" s="13" t="s">
        <v>1314</v>
      </c>
    </row>
    <row r="660">
      <c r="A660" s="7">
        <v>659.0</v>
      </c>
      <c r="B660" s="8">
        <v>10.0</v>
      </c>
      <c r="C660" s="8">
        <v>16.0</v>
      </c>
      <c r="D660" s="8">
        <v>19.0</v>
      </c>
      <c r="E660" s="8">
        <v>24.0</v>
      </c>
      <c r="F660" s="8">
        <v>39.0</v>
      </c>
      <c r="G660" s="8">
        <v>50.0</v>
      </c>
      <c r="H660" s="9">
        <v>29.0</v>
      </c>
      <c r="I660" s="4">
        <v>44544.0</v>
      </c>
      <c r="J660" s="5" t="s">
        <v>1315</v>
      </c>
      <c r="K660" s="10" t="s">
        <v>1316</v>
      </c>
    </row>
    <row r="661">
      <c r="A661" s="7">
        <v>660.0</v>
      </c>
      <c r="B661" s="8">
        <v>19.0</v>
      </c>
      <c r="C661" s="8">
        <v>24.0</v>
      </c>
      <c r="D661" s="8">
        <v>30.0</v>
      </c>
      <c r="E661" s="8">
        <v>41.0</v>
      </c>
      <c r="F661" s="8">
        <v>43.0</v>
      </c>
      <c r="G661" s="8">
        <v>49.0</v>
      </c>
      <c r="H661" s="9">
        <v>55.0</v>
      </c>
      <c r="I661" s="4">
        <v>44546.0</v>
      </c>
      <c r="J661" s="5" t="s">
        <v>1317</v>
      </c>
      <c r="K661" s="13" t="s">
        <v>1318</v>
      </c>
    </row>
    <row r="662">
      <c r="A662" s="7">
        <v>661.0</v>
      </c>
      <c r="B662" s="8">
        <v>4.0</v>
      </c>
      <c r="C662" s="8">
        <v>6.0</v>
      </c>
      <c r="D662" s="8">
        <v>19.0</v>
      </c>
      <c r="E662" s="8">
        <v>26.0</v>
      </c>
      <c r="F662" s="8">
        <v>38.0</v>
      </c>
      <c r="G662" s="8">
        <v>41.0</v>
      </c>
      <c r="H662" s="9">
        <v>16.0</v>
      </c>
      <c r="I662" s="4">
        <v>44548.0</v>
      </c>
      <c r="J662" s="5" t="s">
        <v>1319</v>
      </c>
      <c r="K662" s="12" t="s">
        <v>1320</v>
      </c>
    </row>
    <row r="663">
      <c r="A663" s="7">
        <v>662.0</v>
      </c>
      <c r="B663" s="8">
        <v>23.0</v>
      </c>
      <c r="C663" s="8">
        <v>25.0</v>
      </c>
      <c r="D663" s="8">
        <v>28.0</v>
      </c>
      <c r="E663" s="8">
        <v>49.0</v>
      </c>
      <c r="F663" s="8">
        <v>52.0</v>
      </c>
      <c r="G663" s="8">
        <v>54.0</v>
      </c>
      <c r="H663" s="9">
        <v>44.0</v>
      </c>
      <c r="I663" s="4">
        <v>44551.0</v>
      </c>
      <c r="J663" s="5" t="s">
        <v>1321</v>
      </c>
      <c r="K663" s="11" t="s">
        <v>1322</v>
      </c>
    </row>
    <row r="664">
      <c r="A664" s="7">
        <v>663.0</v>
      </c>
      <c r="B664" s="8">
        <v>8.0</v>
      </c>
      <c r="C664" s="8">
        <v>22.0</v>
      </c>
      <c r="D664" s="8">
        <v>29.0</v>
      </c>
      <c r="E664" s="8">
        <v>43.0</v>
      </c>
      <c r="F664" s="8">
        <v>45.0</v>
      </c>
      <c r="G664" s="8">
        <v>54.0</v>
      </c>
      <c r="H664" s="9">
        <v>23.0</v>
      </c>
      <c r="I664" s="4">
        <v>44553.0</v>
      </c>
      <c r="J664" s="5" t="s">
        <v>1323</v>
      </c>
      <c r="K664" s="10" t="s">
        <v>1324</v>
      </c>
    </row>
    <row r="665">
      <c r="A665" s="7">
        <v>664.0</v>
      </c>
      <c r="B665" s="8">
        <v>6.0</v>
      </c>
      <c r="C665" s="8">
        <v>8.0</v>
      </c>
      <c r="D665" s="8">
        <v>23.0</v>
      </c>
      <c r="E665" s="8">
        <v>25.0</v>
      </c>
      <c r="F665" s="8">
        <v>33.0</v>
      </c>
      <c r="G665" s="8">
        <v>35.0</v>
      </c>
      <c r="H665" s="9">
        <v>27.0</v>
      </c>
      <c r="I665" s="4">
        <v>44555.0</v>
      </c>
      <c r="J665" s="5" t="s">
        <v>1325</v>
      </c>
      <c r="K665" s="13" t="s">
        <v>1326</v>
      </c>
    </row>
    <row r="666">
      <c r="A666" s="7">
        <v>665.0</v>
      </c>
      <c r="B666" s="8">
        <v>3.0</v>
      </c>
      <c r="C666" s="8">
        <v>8.0</v>
      </c>
      <c r="D666" s="8">
        <v>9.0</v>
      </c>
      <c r="E666" s="8">
        <v>40.0</v>
      </c>
      <c r="F666" s="8">
        <v>44.0</v>
      </c>
      <c r="G666" s="8">
        <v>48.0</v>
      </c>
      <c r="H666" s="9">
        <v>2.0</v>
      </c>
      <c r="I666" s="4">
        <v>44558.0</v>
      </c>
      <c r="J666" s="5" t="s">
        <v>1327</v>
      </c>
      <c r="K666" s="10" t="s">
        <v>1328</v>
      </c>
    </row>
    <row r="667">
      <c r="A667" s="7">
        <v>666.0</v>
      </c>
      <c r="B667" s="8">
        <v>9.0</v>
      </c>
      <c r="C667" s="8">
        <v>25.0</v>
      </c>
      <c r="D667" s="8">
        <v>27.0</v>
      </c>
      <c r="E667" s="8">
        <v>32.0</v>
      </c>
      <c r="F667" s="8">
        <v>37.0</v>
      </c>
      <c r="G667" s="8">
        <v>46.0</v>
      </c>
      <c r="H667" s="9">
        <v>23.0</v>
      </c>
      <c r="I667" s="4">
        <v>44560.0</v>
      </c>
      <c r="J667" s="5" t="s">
        <v>1329</v>
      </c>
      <c r="K667" s="11" t="s">
        <v>1330</v>
      </c>
    </row>
    <row r="668">
      <c r="A668" s="7">
        <v>667.0</v>
      </c>
      <c r="B668" s="8">
        <v>4.0</v>
      </c>
      <c r="C668" s="8">
        <v>25.0</v>
      </c>
      <c r="D668" s="8">
        <v>28.0</v>
      </c>
      <c r="E668" s="8">
        <v>32.0</v>
      </c>
      <c r="F668" s="8">
        <v>33.0</v>
      </c>
      <c r="G668" s="8">
        <v>55.0</v>
      </c>
      <c r="H668" s="9">
        <v>3.0</v>
      </c>
      <c r="I668" s="4">
        <v>44562.0</v>
      </c>
      <c r="J668" s="5" t="s">
        <v>1331</v>
      </c>
      <c r="K668" s="10" t="s">
        <v>1332</v>
      </c>
    </row>
    <row r="669">
      <c r="A669" s="7">
        <v>668.0</v>
      </c>
      <c r="B669" s="8">
        <v>11.0</v>
      </c>
      <c r="C669" s="8">
        <v>17.0</v>
      </c>
      <c r="D669" s="8">
        <v>22.0</v>
      </c>
      <c r="E669" s="8">
        <v>28.0</v>
      </c>
      <c r="F669" s="8">
        <v>39.0</v>
      </c>
      <c r="G669" s="8">
        <v>49.0</v>
      </c>
      <c r="H669" s="9">
        <v>43.0</v>
      </c>
      <c r="I669" s="4">
        <v>44565.0</v>
      </c>
      <c r="J669" s="5" t="s">
        <v>1333</v>
      </c>
      <c r="K669" s="13" t="s">
        <v>1334</v>
      </c>
    </row>
    <row r="670">
      <c r="A670" s="7">
        <v>669.0</v>
      </c>
      <c r="B670" s="8">
        <v>4.0</v>
      </c>
      <c r="C670" s="8">
        <v>8.0</v>
      </c>
      <c r="D670" s="8">
        <v>14.0</v>
      </c>
      <c r="E670" s="8">
        <v>21.0</v>
      </c>
      <c r="F670" s="8">
        <v>30.0</v>
      </c>
      <c r="G670" s="8">
        <v>49.0</v>
      </c>
      <c r="H670" s="9">
        <v>38.0</v>
      </c>
      <c r="I670" s="4">
        <v>44567.0</v>
      </c>
      <c r="J670" s="5" t="s">
        <v>1335</v>
      </c>
      <c r="K670" s="10" t="s">
        <v>1336</v>
      </c>
    </row>
    <row r="671">
      <c r="A671" s="7">
        <v>670.0</v>
      </c>
      <c r="B671" s="8">
        <v>6.0</v>
      </c>
      <c r="C671" s="8">
        <v>17.0</v>
      </c>
      <c r="D671" s="8">
        <v>37.0</v>
      </c>
      <c r="E671" s="8">
        <v>41.0</v>
      </c>
      <c r="F671" s="8">
        <v>48.0</v>
      </c>
      <c r="G671" s="8">
        <v>50.0</v>
      </c>
      <c r="H671" s="9">
        <v>13.0</v>
      </c>
      <c r="I671" s="4">
        <v>44569.0</v>
      </c>
      <c r="J671" s="5" t="s">
        <v>1337</v>
      </c>
      <c r="K671" s="11" t="s">
        <v>1338</v>
      </c>
    </row>
    <row r="672">
      <c r="A672" s="7">
        <v>671.0</v>
      </c>
      <c r="B672" s="8">
        <v>12.0</v>
      </c>
      <c r="C672" s="8">
        <v>25.0</v>
      </c>
      <c r="D672" s="8">
        <v>26.0</v>
      </c>
      <c r="E672" s="8">
        <v>28.0</v>
      </c>
      <c r="F672" s="8">
        <v>33.0</v>
      </c>
      <c r="G672" s="8">
        <v>46.0</v>
      </c>
      <c r="H672" s="9">
        <v>22.0</v>
      </c>
      <c r="I672" s="4">
        <v>44572.0</v>
      </c>
      <c r="J672" s="5" t="s">
        <v>1339</v>
      </c>
      <c r="K672" s="10" t="s">
        <v>1340</v>
      </c>
    </row>
    <row r="673">
      <c r="A673" s="7">
        <v>672.0</v>
      </c>
      <c r="B673" s="8">
        <v>7.0</v>
      </c>
      <c r="C673" s="8">
        <v>12.0</v>
      </c>
      <c r="D673" s="8">
        <v>17.0</v>
      </c>
      <c r="E673" s="8">
        <v>26.0</v>
      </c>
      <c r="F673" s="8">
        <v>37.0</v>
      </c>
      <c r="G673" s="8">
        <v>46.0</v>
      </c>
      <c r="H673" s="9">
        <v>28.0</v>
      </c>
      <c r="I673" s="4">
        <v>44574.0</v>
      </c>
      <c r="J673" s="5" t="s">
        <v>1341</v>
      </c>
      <c r="K673" s="11" t="s">
        <v>1342</v>
      </c>
    </row>
    <row r="674">
      <c r="A674" s="7">
        <v>673.0</v>
      </c>
      <c r="B674" s="8">
        <v>20.0</v>
      </c>
      <c r="C674" s="8">
        <v>26.0</v>
      </c>
      <c r="D674" s="8">
        <v>41.0</v>
      </c>
      <c r="E674" s="8">
        <v>46.0</v>
      </c>
      <c r="F674" s="8">
        <v>47.0</v>
      </c>
      <c r="G674" s="8">
        <v>48.0</v>
      </c>
      <c r="H674" s="9">
        <v>18.0</v>
      </c>
      <c r="I674" s="4">
        <v>44576.0</v>
      </c>
      <c r="J674" s="5" t="s">
        <v>1343</v>
      </c>
      <c r="K674" s="10" t="s">
        <v>1344</v>
      </c>
    </row>
    <row r="675">
      <c r="A675" s="7">
        <v>674.0</v>
      </c>
      <c r="B675" s="8">
        <v>6.0</v>
      </c>
      <c r="C675" s="8">
        <v>15.0</v>
      </c>
      <c r="D675" s="8">
        <v>16.0</v>
      </c>
      <c r="E675" s="8">
        <v>33.0</v>
      </c>
      <c r="F675" s="8">
        <v>41.0</v>
      </c>
      <c r="G675" s="8">
        <v>43.0</v>
      </c>
      <c r="H675" s="9">
        <v>51.0</v>
      </c>
      <c r="I675" s="4">
        <v>44579.0</v>
      </c>
      <c r="J675" s="5" t="s">
        <v>1345</v>
      </c>
      <c r="K675" s="11" t="s">
        <v>1346</v>
      </c>
    </row>
    <row r="676">
      <c r="A676" s="7">
        <v>675.0</v>
      </c>
      <c r="B676" s="8">
        <v>8.0</v>
      </c>
      <c r="C676" s="8">
        <v>21.0</v>
      </c>
      <c r="D676" s="8">
        <v>32.0</v>
      </c>
      <c r="E676" s="8">
        <v>34.0</v>
      </c>
      <c r="F676" s="8">
        <v>41.0</v>
      </c>
      <c r="G676" s="8">
        <v>46.0</v>
      </c>
      <c r="H676" s="9">
        <v>48.0</v>
      </c>
      <c r="I676" s="4">
        <v>44581.0</v>
      </c>
      <c r="J676" s="5" t="s">
        <v>1347</v>
      </c>
      <c r="K676" s="10" t="s">
        <v>1348</v>
      </c>
    </row>
    <row r="677">
      <c r="A677" s="7">
        <v>676.0</v>
      </c>
      <c r="B677" s="8">
        <v>2.0</v>
      </c>
      <c r="C677" s="8">
        <v>6.0</v>
      </c>
      <c r="D677" s="8">
        <v>16.0</v>
      </c>
      <c r="E677" s="8">
        <v>29.0</v>
      </c>
      <c r="F677" s="8">
        <v>37.0</v>
      </c>
      <c r="G677" s="8">
        <v>42.0</v>
      </c>
      <c r="H677" s="9">
        <v>22.0</v>
      </c>
      <c r="I677" s="4">
        <v>44583.0</v>
      </c>
      <c r="J677" s="5" t="s">
        <v>1349</v>
      </c>
      <c r="K677" s="11" t="s">
        <v>1350</v>
      </c>
    </row>
    <row r="678">
      <c r="A678" s="7">
        <v>677.0</v>
      </c>
      <c r="B678" s="8">
        <v>2.0</v>
      </c>
      <c r="C678" s="8">
        <v>16.0</v>
      </c>
      <c r="D678" s="8">
        <v>17.0</v>
      </c>
      <c r="E678" s="8">
        <v>20.0</v>
      </c>
      <c r="F678" s="8">
        <v>31.0</v>
      </c>
      <c r="G678" s="8">
        <v>51.0</v>
      </c>
      <c r="H678" s="9">
        <v>50.0</v>
      </c>
      <c r="I678" s="4">
        <v>44586.0</v>
      </c>
      <c r="J678" s="5" t="s">
        <v>1351</v>
      </c>
      <c r="K678" s="10" t="s">
        <v>1352</v>
      </c>
    </row>
    <row r="679">
      <c r="A679" s="7">
        <v>678.0</v>
      </c>
      <c r="B679" s="8">
        <v>1.0</v>
      </c>
      <c r="C679" s="8">
        <v>26.0</v>
      </c>
      <c r="D679" s="8">
        <v>31.0</v>
      </c>
      <c r="E679" s="8">
        <v>36.0</v>
      </c>
      <c r="F679" s="8">
        <v>40.0</v>
      </c>
      <c r="G679" s="8">
        <v>46.0</v>
      </c>
      <c r="H679" s="9">
        <v>28.0</v>
      </c>
      <c r="I679" s="4">
        <v>44588.0</v>
      </c>
      <c r="J679" s="5" t="s">
        <v>1353</v>
      </c>
      <c r="K679" s="11" t="s">
        <v>1354</v>
      </c>
    </row>
    <row r="680">
      <c r="A680" s="7">
        <v>679.0</v>
      </c>
      <c r="B680" s="8">
        <v>6.0</v>
      </c>
      <c r="C680" s="8">
        <v>10.0</v>
      </c>
      <c r="D680" s="8">
        <v>17.0</v>
      </c>
      <c r="E680" s="8">
        <v>23.0</v>
      </c>
      <c r="F680" s="8">
        <v>25.0</v>
      </c>
      <c r="G680" s="8">
        <v>38.0</v>
      </c>
      <c r="H680" s="9">
        <v>21.0</v>
      </c>
      <c r="I680" s="4">
        <v>44590.0</v>
      </c>
      <c r="J680" s="5" t="s">
        <v>1355</v>
      </c>
      <c r="K680" s="12" t="s">
        <v>1356</v>
      </c>
    </row>
    <row r="681">
      <c r="A681" s="7">
        <v>680.0</v>
      </c>
      <c r="B681" s="8">
        <v>13.0</v>
      </c>
      <c r="C681" s="8">
        <v>18.0</v>
      </c>
      <c r="D681" s="8">
        <v>22.0</v>
      </c>
      <c r="E681" s="8">
        <v>35.0</v>
      </c>
      <c r="F681" s="8">
        <v>42.0</v>
      </c>
      <c r="G681" s="8">
        <v>43.0</v>
      </c>
      <c r="H681" s="9">
        <v>3.0</v>
      </c>
      <c r="I681" s="4">
        <v>44595.0</v>
      </c>
      <c r="J681" s="5" t="s">
        <v>1357</v>
      </c>
      <c r="K681" s="11" t="s">
        <v>1358</v>
      </c>
    </row>
    <row r="682">
      <c r="A682" s="7">
        <v>681.0</v>
      </c>
      <c r="B682" s="8">
        <v>1.0</v>
      </c>
      <c r="C682" s="8">
        <v>17.0</v>
      </c>
      <c r="D682" s="8">
        <v>23.0</v>
      </c>
      <c r="E682" s="8">
        <v>29.0</v>
      </c>
      <c r="F682" s="8">
        <v>44.0</v>
      </c>
      <c r="G682" s="8">
        <v>45.0</v>
      </c>
      <c r="H682" s="9">
        <v>37.0</v>
      </c>
      <c r="I682" s="4">
        <v>44597.0</v>
      </c>
      <c r="J682" s="5" t="s">
        <v>1359</v>
      </c>
      <c r="K682" s="10" t="s">
        <v>1360</v>
      </c>
    </row>
    <row r="683">
      <c r="A683" s="7">
        <v>682.0</v>
      </c>
      <c r="B683" s="8">
        <v>12.0</v>
      </c>
      <c r="C683" s="8">
        <v>15.0</v>
      </c>
      <c r="D683" s="8">
        <v>21.0</v>
      </c>
      <c r="E683" s="8">
        <v>28.0</v>
      </c>
      <c r="F683" s="8">
        <v>32.0</v>
      </c>
      <c r="G683" s="8">
        <v>40.0</v>
      </c>
      <c r="H683" s="9">
        <v>43.0</v>
      </c>
      <c r="I683" s="4">
        <v>44600.0</v>
      </c>
      <c r="J683" s="5" t="s">
        <v>1361</v>
      </c>
      <c r="K683" s="13" t="s">
        <v>1362</v>
      </c>
    </row>
    <row r="684">
      <c r="A684" s="7">
        <v>683.0</v>
      </c>
      <c r="B684" s="8">
        <v>3.0</v>
      </c>
      <c r="C684" s="8">
        <v>15.0</v>
      </c>
      <c r="D684" s="8">
        <v>26.0</v>
      </c>
      <c r="E684" s="8">
        <v>35.0</v>
      </c>
      <c r="F684" s="8">
        <v>43.0</v>
      </c>
      <c r="G684" s="8">
        <v>52.0</v>
      </c>
      <c r="H684" s="9">
        <v>7.0</v>
      </c>
      <c r="I684" s="4">
        <v>44602.0</v>
      </c>
      <c r="J684" s="5" t="s">
        <v>1363</v>
      </c>
      <c r="K684" s="10" t="s">
        <v>1364</v>
      </c>
    </row>
    <row r="685">
      <c r="A685" s="7">
        <v>684.0</v>
      </c>
      <c r="B685" s="8">
        <v>4.0</v>
      </c>
      <c r="C685" s="8">
        <v>8.0</v>
      </c>
      <c r="D685" s="8">
        <v>12.0</v>
      </c>
      <c r="E685" s="8">
        <v>42.0</v>
      </c>
      <c r="F685" s="8">
        <v>44.0</v>
      </c>
      <c r="G685" s="8">
        <v>51.0</v>
      </c>
      <c r="H685" s="9">
        <v>41.0</v>
      </c>
      <c r="I685" s="4">
        <v>44604.0</v>
      </c>
      <c r="J685" s="5" t="s">
        <v>1365</v>
      </c>
      <c r="K685" s="11" t="s">
        <v>1366</v>
      </c>
    </row>
    <row r="686">
      <c r="A686" s="7">
        <v>685.0</v>
      </c>
      <c r="B686" s="8">
        <v>5.0</v>
      </c>
      <c r="C686" s="8">
        <v>7.0</v>
      </c>
      <c r="D686" s="8">
        <v>14.0</v>
      </c>
      <c r="E686" s="8">
        <v>24.0</v>
      </c>
      <c r="F686" s="8">
        <v>29.0</v>
      </c>
      <c r="G686" s="8">
        <v>36.0</v>
      </c>
      <c r="H686" s="9">
        <v>46.0</v>
      </c>
      <c r="I686" s="4">
        <v>44607.0</v>
      </c>
      <c r="J686" s="5" t="s">
        <v>1367</v>
      </c>
      <c r="K686" s="12" t="s">
        <v>1368</v>
      </c>
    </row>
    <row r="687">
      <c r="A687" s="7">
        <v>686.0</v>
      </c>
      <c r="B687" s="8">
        <v>5.0</v>
      </c>
      <c r="C687" s="8">
        <v>24.0</v>
      </c>
      <c r="D687" s="8">
        <v>40.0</v>
      </c>
      <c r="E687" s="8">
        <v>42.0</v>
      </c>
      <c r="F687" s="8">
        <v>46.0</v>
      </c>
      <c r="G687" s="8">
        <v>54.0</v>
      </c>
      <c r="H687" s="9">
        <v>3.0</v>
      </c>
      <c r="I687" s="4">
        <v>44609.0</v>
      </c>
      <c r="J687" s="5" t="s">
        <v>1369</v>
      </c>
      <c r="K687" s="11" t="s">
        <v>1370</v>
      </c>
    </row>
    <row r="688">
      <c r="A688" s="7">
        <v>687.0</v>
      </c>
      <c r="B688" s="8">
        <v>1.0</v>
      </c>
      <c r="C688" s="8">
        <v>11.0</v>
      </c>
      <c r="D688" s="8">
        <v>14.0</v>
      </c>
      <c r="E688" s="8">
        <v>33.0</v>
      </c>
      <c r="F688" s="8">
        <v>46.0</v>
      </c>
      <c r="G688" s="8">
        <v>48.0</v>
      </c>
      <c r="H688" s="9">
        <v>40.0</v>
      </c>
      <c r="I688" s="4">
        <v>44611.0</v>
      </c>
      <c r="J688" s="5" t="s">
        <v>1371</v>
      </c>
      <c r="K688" s="10" t="s">
        <v>1372</v>
      </c>
    </row>
    <row r="689">
      <c r="A689" s="7">
        <v>688.0</v>
      </c>
      <c r="B689" s="8">
        <v>9.0</v>
      </c>
      <c r="C689" s="8">
        <v>16.0</v>
      </c>
      <c r="D689" s="8">
        <v>19.0</v>
      </c>
      <c r="E689" s="8">
        <v>23.0</v>
      </c>
      <c r="F689" s="8">
        <v>25.0</v>
      </c>
      <c r="G689" s="8">
        <v>39.0</v>
      </c>
      <c r="H689" s="9">
        <v>4.0</v>
      </c>
      <c r="I689" s="4">
        <v>44614.0</v>
      </c>
      <c r="J689" s="5" t="s">
        <v>1373</v>
      </c>
      <c r="K689" s="13" t="s">
        <v>1374</v>
      </c>
    </row>
    <row r="690">
      <c r="A690" s="7">
        <v>689.0</v>
      </c>
      <c r="B690" s="8">
        <v>2.0</v>
      </c>
      <c r="C690" s="8">
        <v>15.0</v>
      </c>
      <c r="D690" s="8">
        <v>25.0</v>
      </c>
      <c r="E690" s="8">
        <v>30.0</v>
      </c>
      <c r="F690" s="8">
        <v>31.0</v>
      </c>
      <c r="G690" s="8">
        <v>32.0</v>
      </c>
      <c r="H690" s="9">
        <v>13.0</v>
      </c>
      <c r="I690" s="4">
        <v>44616.0</v>
      </c>
      <c r="J690" s="5" t="s">
        <v>1375</v>
      </c>
      <c r="K690" s="12" t="s">
        <v>1376</v>
      </c>
    </row>
    <row r="691">
      <c r="A691" s="7">
        <v>690.0</v>
      </c>
      <c r="B691" s="8">
        <v>5.0</v>
      </c>
      <c r="C691" s="8">
        <v>8.0</v>
      </c>
      <c r="D691" s="8">
        <v>30.0</v>
      </c>
      <c r="E691" s="8">
        <v>36.0</v>
      </c>
      <c r="F691" s="8">
        <v>49.0</v>
      </c>
      <c r="G691" s="8">
        <v>51.0</v>
      </c>
      <c r="H691" s="9">
        <v>18.0</v>
      </c>
      <c r="I691" s="4">
        <v>44618.0</v>
      </c>
      <c r="J691" s="5" t="s">
        <v>1377</v>
      </c>
      <c r="K691" s="11" t="s">
        <v>1378</v>
      </c>
    </row>
    <row r="692">
      <c r="A692" s="7">
        <v>691.0</v>
      </c>
      <c r="B692" s="8">
        <v>15.0</v>
      </c>
      <c r="C692" s="8">
        <v>19.0</v>
      </c>
      <c r="D692" s="8">
        <v>25.0</v>
      </c>
      <c r="E692" s="8">
        <v>42.0</v>
      </c>
      <c r="F692" s="8">
        <v>51.0</v>
      </c>
      <c r="G692" s="8">
        <v>53.0</v>
      </c>
      <c r="H692" s="9">
        <v>2.0</v>
      </c>
      <c r="I692" s="4">
        <v>44621.0</v>
      </c>
      <c r="J692" s="5" t="s">
        <v>1379</v>
      </c>
      <c r="K692" s="10" t="s">
        <v>1380</v>
      </c>
    </row>
    <row r="693">
      <c r="A693" s="7">
        <v>692.0</v>
      </c>
      <c r="B693" s="8">
        <v>4.0</v>
      </c>
      <c r="C693" s="8">
        <v>10.0</v>
      </c>
      <c r="D693" s="8">
        <v>16.0</v>
      </c>
      <c r="E693" s="8">
        <v>25.0</v>
      </c>
      <c r="F693" s="8">
        <v>26.0</v>
      </c>
      <c r="G693" s="8">
        <v>43.0</v>
      </c>
      <c r="H693" s="9">
        <v>52.0</v>
      </c>
      <c r="I693" s="4">
        <v>44623.0</v>
      </c>
      <c r="J693" s="5" t="s">
        <v>1381</v>
      </c>
      <c r="K693" s="11" t="s">
        <v>1382</v>
      </c>
    </row>
    <row r="694">
      <c r="A694" s="7">
        <v>693.0</v>
      </c>
      <c r="B694" s="8">
        <v>5.0</v>
      </c>
      <c r="C694" s="8">
        <v>12.0</v>
      </c>
      <c r="D694" s="8">
        <v>15.0</v>
      </c>
      <c r="E694" s="8">
        <v>25.0</v>
      </c>
      <c r="F694" s="8">
        <v>43.0</v>
      </c>
      <c r="G694" s="8">
        <v>48.0</v>
      </c>
      <c r="H694" s="9">
        <v>1.0</v>
      </c>
      <c r="I694" s="4">
        <v>44625.0</v>
      </c>
      <c r="J694" s="5" t="s">
        <v>1383</v>
      </c>
      <c r="K694" s="10" t="s">
        <v>1384</v>
      </c>
    </row>
    <row r="695">
      <c r="A695" s="7">
        <v>694.0</v>
      </c>
      <c r="B695" s="8">
        <v>3.0</v>
      </c>
      <c r="C695" s="8">
        <v>23.0</v>
      </c>
      <c r="D695" s="8">
        <v>25.0</v>
      </c>
      <c r="E695" s="8">
        <v>39.0</v>
      </c>
      <c r="F695" s="8">
        <v>47.0</v>
      </c>
      <c r="G695" s="8">
        <v>48.0</v>
      </c>
      <c r="H695" s="9">
        <v>55.0</v>
      </c>
      <c r="I695" s="4">
        <v>44628.0</v>
      </c>
      <c r="J695" s="5" t="s">
        <v>1385</v>
      </c>
      <c r="K695" s="11" t="s">
        <v>1386</v>
      </c>
    </row>
    <row r="696">
      <c r="A696" s="7">
        <v>695.0</v>
      </c>
      <c r="B696" s="8">
        <v>1.0</v>
      </c>
      <c r="C696" s="8">
        <v>3.0</v>
      </c>
      <c r="D696" s="8">
        <v>8.0</v>
      </c>
      <c r="E696" s="8">
        <v>16.0</v>
      </c>
      <c r="F696" s="8">
        <v>19.0</v>
      </c>
      <c r="G696" s="8">
        <v>36.0</v>
      </c>
      <c r="H696" s="9">
        <v>41.0</v>
      </c>
      <c r="I696" s="4">
        <v>44630.0</v>
      </c>
      <c r="J696" s="5" t="s">
        <v>1387</v>
      </c>
      <c r="K696" s="10" t="s">
        <v>1388</v>
      </c>
    </row>
    <row r="697">
      <c r="A697" s="7">
        <v>696.0</v>
      </c>
      <c r="B697" s="8">
        <v>12.0</v>
      </c>
      <c r="C697" s="8">
        <v>16.0</v>
      </c>
      <c r="D697" s="8">
        <v>18.0</v>
      </c>
      <c r="E697" s="8">
        <v>26.0</v>
      </c>
      <c r="F697" s="8">
        <v>30.0</v>
      </c>
      <c r="G697" s="8">
        <v>45.0</v>
      </c>
      <c r="H697" s="9">
        <v>36.0</v>
      </c>
      <c r="I697" s="4">
        <v>44632.0</v>
      </c>
      <c r="J697" s="5" t="s">
        <v>1389</v>
      </c>
      <c r="K697" s="11" t="s">
        <v>1390</v>
      </c>
    </row>
    <row r="698">
      <c r="A698" s="7">
        <v>697.0</v>
      </c>
      <c r="B698" s="8">
        <v>6.0</v>
      </c>
      <c r="C698" s="8">
        <v>14.0</v>
      </c>
      <c r="D698" s="8">
        <v>24.0</v>
      </c>
      <c r="E698" s="8">
        <v>28.0</v>
      </c>
      <c r="F698" s="8">
        <v>33.0</v>
      </c>
      <c r="G698" s="8">
        <v>52.0</v>
      </c>
      <c r="H698" s="9">
        <v>50.0</v>
      </c>
      <c r="I698" s="4">
        <v>44635.0</v>
      </c>
      <c r="J698" s="5" t="s">
        <v>1391</v>
      </c>
      <c r="K698" s="12" t="s">
        <v>1392</v>
      </c>
    </row>
    <row r="699">
      <c r="A699" s="7">
        <v>698.0</v>
      </c>
      <c r="B699" s="8">
        <v>1.0</v>
      </c>
      <c r="C699" s="8">
        <v>6.0</v>
      </c>
      <c r="D699" s="8">
        <v>12.0</v>
      </c>
      <c r="E699" s="8">
        <v>21.0</v>
      </c>
      <c r="F699" s="8">
        <v>37.0</v>
      </c>
      <c r="G699" s="8">
        <v>49.0</v>
      </c>
      <c r="H699" s="9">
        <v>53.0</v>
      </c>
      <c r="I699" s="4">
        <v>44637.0</v>
      </c>
      <c r="J699" s="5" t="s">
        <v>1393</v>
      </c>
      <c r="K699" s="11" t="s">
        <v>1394</v>
      </c>
    </row>
    <row r="700">
      <c r="A700" s="7">
        <v>699.0</v>
      </c>
      <c r="B700" s="8">
        <v>8.0</v>
      </c>
      <c r="C700" s="8">
        <v>20.0</v>
      </c>
      <c r="D700" s="8">
        <v>24.0</v>
      </c>
      <c r="E700" s="8">
        <v>37.0</v>
      </c>
      <c r="F700" s="8">
        <v>51.0</v>
      </c>
      <c r="G700" s="8">
        <v>55.0</v>
      </c>
      <c r="H700" s="9">
        <v>27.0</v>
      </c>
      <c r="I700" s="4">
        <v>44639.0</v>
      </c>
      <c r="J700" s="5" t="s">
        <v>1395</v>
      </c>
      <c r="K700" s="10" t="s">
        <v>1396</v>
      </c>
    </row>
    <row r="701">
      <c r="A701" s="7">
        <v>700.0</v>
      </c>
      <c r="B701" s="8">
        <v>1.0</v>
      </c>
      <c r="C701" s="8">
        <v>14.0</v>
      </c>
      <c r="D701" s="8">
        <v>18.0</v>
      </c>
      <c r="E701" s="8">
        <v>28.0</v>
      </c>
      <c r="F701" s="8">
        <v>47.0</v>
      </c>
      <c r="G701" s="8">
        <v>49.0</v>
      </c>
      <c r="H701" s="9">
        <v>22.0</v>
      </c>
      <c r="I701" s="4">
        <v>44642.0</v>
      </c>
      <c r="J701" s="5" t="s">
        <v>1397</v>
      </c>
      <c r="K701" s="13" t="s">
        <v>1398</v>
      </c>
    </row>
    <row r="702">
      <c r="A702" s="7">
        <v>701.0</v>
      </c>
      <c r="B702" s="8">
        <v>5.0</v>
      </c>
      <c r="C702" s="8">
        <v>9.0</v>
      </c>
      <c r="D702" s="8">
        <v>16.0</v>
      </c>
      <c r="E702" s="8">
        <v>35.0</v>
      </c>
      <c r="F702" s="8">
        <v>45.0</v>
      </c>
      <c r="G702" s="8">
        <v>46.0</v>
      </c>
      <c r="H702" s="9">
        <v>44.0</v>
      </c>
      <c r="I702" s="4">
        <v>44644.0</v>
      </c>
      <c r="J702" s="5" t="s">
        <v>1399</v>
      </c>
      <c r="K702" s="10" t="s">
        <v>1400</v>
      </c>
    </row>
    <row r="703">
      <c r="A703" s="7">
        <v>702.0</v>
      </c>
      <c r="B703" s="8">
        <v>1.0</v>
      </c>
      <c r="C703" s="8">
        <v>6.0</v>
      </c>
      <c r="D703" s="8">
        <v>16.0</v>
      </c>
      <c r="E703" s="8">
        <v>30.0</v>
      </c>
      <c r="F703" s="8">
        <v>34.0</v>
      </c>
      <c r="G703" s="8">
        <v>55.0</v>
      </c>
      <c r="H703" s="9">
        <v>29.0</v>
      </c>
      <c r="I703" s="4">
        <v>44646.0</v>
      </c>
      <c r="J703" s="5" t="s">
        <v>1401</v>
      </c>
      <c r="K703" s="13" t="s">
        <v>1402</v>
      </c>
    </row>
    <row r="704">
      <c r="A704" s="7">
        <v>703.0</v>
      </c>
      <c r="B704" s="8">
        <v>5.0</v>
      </c>
      <c r="C704" s="8">
        <v>11.0</v>
      </c>
      <c r="D704" s="8">
        <v>32.0</v>
      </c>
      <c r="E704" s="8">
        <v>35.0</v>
      </c>
      <c r="F704" s="8">
        <v>40.0</v>
      </c>
      <c r="G704" s="8">
        <v>52.0</v>
      </c>
      <c r="H704" s="9">
        <v>31.0</v>
      </c>
      <c r="I704" s="4">
        <v>44649.0</v>
      </c>
      <c r="J704" s="5" t="s">
        <v>1403</v>
      </c>
      <c r="K704" s="10" t="s">
        <v>1404</v>
      </c>
    </row>
    <row r="705">
      <c r="A705" s="7">
        <v>704.0</v>
      </c>
      <c r="B705" s="8">
        <v>5.0</v>
      </c>
      <c r="C705" s="8">
        <v>24.0</v>
      </c>
      <c r="D705" s="8">
        <v>34.0</v>
      </c>
      <c r="E705" s="8">
        <v>39.0</v>
      </c>
      <c r="F705" s="8">
        <v>42.0</v>
      </c>
      <c r="G705" s="8">
        <v>49.0</v>
      </c>
      <c r="H705" s="9">
        <v>16.0</v>
      </c>
      <c r="I705" s="4">
        <v>44651.0</v>
      </c>
      <c r="J705" s="5" t="s">
        <v>1405</v>
      </c>
      <c r="K705" s="11" t="s">
        <v>1406</v>
      </c>
    </row>
    <row r="706">
      <c r="A706" s="7">
        <v>705.0</v>
      </c>
      <c r="B706" s="8">
        <v>32.0</v>
      </c>
      <c r="C706" s="8">
        <v>38.0</v>
      </c>
      <c r="D706" s="8">
        <v>42.0</v>
      </c>
      <c r="E706" s="8">
        <v>44.0</v>
      </c>
      <c r="F706" s="8">
        <v>47.0</v>
      </c>
      <c r="G706" s="8">
        <v>55.0</v>
      </c>
      <c r="H706" s="9">
        <v>46.0</v>
      </c>
      <c r="I706" s="4">
        <v>44653.0</v>
      </c>
      <c r="J706" s="5" t="s">
        <v>1407</v>
      </c>
      <c r="K706" s="10" t="s">
        <v>1408</v>
      </c>
    </row>
    <row r="707">
      <c r="A707" s="7">
        <v>706.0</v>
      </c>
      <c r="B707" s="8">
        <v>5.0</v>
      </c>
      <c r="C707" s="8">
        <v>18.0</v>
      </c>
      <c r="D707" s="8">
        <v>26.0</v>
      </c>
      <c r="E707" s="8">
        <v>36.0</v>
      </c>
      <c r="F707" s="8">
        <v>43.0</v>
      </c>
      <c r="G707" s="8">
        <v>44.0</v>
      </c>
      <c r="H707" s="9">
        <v>45.0</v>
      </c>
      <c r="I707" s="4">
        <v>44656.0</v>
      </c>
      <c r="J707" s="5" t="s">
        <v>1409</v>
      </c>
      <c r="K707" s="11" t="s">
        <v>1410</v>
      </c>
    </row>
    <row r="708">
      <c r="A708" s="7">
        <v>707.0</v>
      </c>
      <c r="B708" s="8">
        <v>6.0</v>
      </c>
      <c r="C708" s="8">
        <v>14.0</v>
      </c>
      <c r="D708" s="8">
        <v>15.0</v>
      </c>
      <c r="E708" s="8">
        <v>25.0</v>
      </c>
      <c r="F708" s="8">
        <v>29.0</v>
      </c>
      <c r="G708" s="8">
        <v>32.0</v>
      </c>
      <c r="H708" s="9">
        <v>41.0</v>
      </c>
      <c r="I708" s="4">
        <v>44658.0</v>
      </c>
      <c r="J708" s="5" t="s">
        <v>1411</v>
      </c>
      <c r="K708" s="12" t="s">
        <v>1412</v>
      </c>
    </row>
    <row r="709">
      <c r="A709" s="7">
        <v>708.0</v>
      </c>
      <c r="B709" s="8">
        <v>2.0</v>
      </c>
      <c r="C709" s="8">
        <v>3.0</v>
      </c>
      <c r="D709" s="8">
        <v>19.0</v>
      </c>
      <c r="E709" s="8">
        <v>28.0</v>
      </c>
      <c r="F709" s="8">
        <v>42.0</v>
      </c>
      <c r="G709" s="8">
        <v>45.0</v>
      </c>
      <c r="H709" s="9">
        <v>12.0</v>
      </c>
      <c r="I709" s="4">
        <v>44660.0</v>
      </c>
      <c r="J709" s="5" t="s">
        <v>1413</v>
      </c>
      <c r="K709" s="11" t="s">
        <v>1414</v>
      </c>
    </row>
    <row r="710">
      <c r="A710" s="7">
        <v>709.0</v>
      </c>
      <c r="B710" s="8">
        <v>11.0</v>
      </c>
      <c r="C710" s="8">
        <v>18.0</v>
      </c>
      <c r="D710" s="8">
        <v>20.0</v>
      </c>
      <c r="E710" s="8">
        <v>22.0</v>
      </c>
      <c r="F710" s="8">
        <v>25.0</v>
      </c>
      <c r="G710" s="8">
        <v>40.0</v>
      </c>
      <c r="H710" s="9">
        <v>5.0</v>
      </c>
      <c r="I710" s="4">
        <v>44663.0</v>
      </c>
      <c r="J710" s="5" t="s">
        <v>1415</v>
      </c>
      <c r="K710" s="10" t="s">
        <v>1416</v>
      </c>
    </row>
    <row r="711">
      <c r="A711" s="7">
        <v>710.0</v>
      </c>
      <c r="B711" s="8">
        <v>1.0</v>
      </c>
      <c r="C711" s="8">
        <v>5.0</v>
      </c>
      <c r="D711" s="8">
        <v>9.0</v>
      </c>
      <c r="E711" s="8">
        <v>34.0</v>
      </c>
      <c r="F711" s="8">
        <v>37.0</v>
      </c>
      <c r="G711" s="8">
        <v>45.0</v>
      </c>
      <c r="H711" s="9">
        <v>52.0</v>
      </c>
      <c r="I711" s="4">
        <v>44665.0</v>
      </c>
      <c r="J711" s="5" t="s">
        <v>1417</v>
      </c>
      <c r="K711" s="11" t="s">
        <v>1418</v>
      </c>
    </row>
    <row r="712">
      <c r="A712" s="7">
        <v>711.0</v>
      </c>
      <c r="B712" s="8">
        <v>4.0</v>
      </c>
      <c r="C712" s="8">
        <v>8.0</v>
      </c>
      <c r="D712" s="8">
        <v>39.0</v>
      </c>
      <c r="E712" s="8">
        <v>41.0</v>
      </c>
      <c r="F712" s="8">
        <v>53.0</v>
      </c>
      <c r="G712" s="8">
        <v>55.0</v>
      </c>
      <c r="H712" s="9">
        <v>52.0</v>
      </c>
      <c r="I712" s="4">
        <v>44667.0</v>
      </c>
      <c r="J712" s="5" t="s">
        <v>1419</v>
      </c>
      <c r="K712" s="10" t="s">
        <v>1420</v>
      </c>
    </row>
    <row r="713">
      <c r="A713" s="7">
        <v>712.0</v>
      </c>
      <c r="B713" s="8">
        <v>2.0</v>
      </c>
      <c r="C713" s="8">
        <v>7.0</v>
      </c>
      <c r="D713" s="8">
        <v>13.0</v>
      </c>
      <c r="E713" s="8">
        <v>28.0</v>
      </c>
      <c r="F713" s="8">
        <v>29.0</v>
      </c>
      <c r="G713" s="8">
        <v>34.0</v>
      </c>
      <c r="H713" s="9">
        <v>39.0</v>
      </c>
      <c r="I713" s="4">
        <v>44670.0</v>
      </c>
      <c r="J713" s="5" t="s">
        <v>1421</v>
      </c>
      <c r="K713" s="11" t="s">
        <v>1422</v>
      </c>
    </row>
    <row r="714">
      <c r="A714" s="7">
        <v>713.0</v>
      </c>
      <c r="B714" s="8">
        <v>21.0</v>
      </c>
      <c r="C714" s="8">
        <v>24.0</v>
      </c>
      <c r="D714" s="8">
        <v>27.0</v>
      </c>
      <c r="E714" s="8">
        <v>34.0</v>
      </c>
      <c r="F714" s="8">
        <v>38.0</v>
      </c>
      <c r="G714" s="8">
        <v>42.0</v>
      </c>
      <c r="H714" s="9">
        <v>46.0</v>
      </c>
      <c r="I714" s="4">
        <v>44672.0</v>
      </c>
      <c r="J714" s="5" t="s">
        <v>1423</v>
      </c>
      <c r="K714" s="10" t="s">
        <v>1424</v>
      </c>
    </row>
    <row r="715">
      <c r="A715" s="7">
        <v>714.0</v>
      </c>
      <c r="B715" s="8">
        <v>3.0</v>
      </c>
      <c r="C715" s="8">
        <v>27.0</v>
      </c>
      <c r="D715" s="8">
        <v>36.0</v>
      </c>
      <c r="E715" s="8">
        <v>41.0</v>
      </c>
      <c r="F715" s="8">
        <v>49.0</v>
      </c>
      <c r="G715" s="8">
        <v>55.0</v>
      </c>
      <c r="H715" s="9">
        <v>18.0</v>
      </c>
      <c r="I715" s="4">
        <v>44674.0</v>
      </c>
      <c r="J715" s="5" t="s">
        <v>1425</v>
      </c>
      <c r="K715" s="11" t="s">
        <v>1426</v>
      </c>
    </row>
    <row r="716">
      <c r="A716" s="7">
        <v>715.0</v>
      </c>
      <c r="B716" s="8">
        <v>14.0</v>
      </c>
      <c r="C716" s="8">
        <v>22.0</v>
      </c>
      <c r="D716" s="8">
        <v>24.0</v>
      </c>
      <c r="E716" s="8">
        <v>25.0</v>
      </c>
      <c r="F716" s="8">
        <v>43.0</v>
      </c>
      <c r="G716" s="8">
        <v>49.0</v>
      </c>
      <c r="H716" s="9">
        <v>17.0</v>
      </c>
      <c r="I716" s="4">
        <v>44677.0</v>
      </c>
      <c r="J716" s="5" t="s">
        <v>1427</v>
      </c>
      <c r="K716" s="12" t="s">
        <v>1428</v>
      </c>
    </row>
    <row r="717">
      <c r="A717" s="7">
        <v>716.0</v>
      </c>
      <c r="B717" s="8">
        <v>8.0</v>
      </c>
      <c r="C717" s="8">
        <v>24.0</v>
      </c>
      <c r="D717" s="8">
        <v>25.0</v>
      </c>
      <c r="E717" s="8">
        <v>32.0</v>
      </c>
      <c r="F717" s="8">
        <v>37.0</v>
      </c>
      <c r="G717" s="8">
        <v>44.0</v>
      </c>
      <c r="H717" s="9">
        <v>3.0</v>
      </c>
      <c r="I717" s="4">
        <v>44679.0</v>
      </c>
      <c r="J717" s="5" t="s">
        <v>1429</v>
      </c>
      <c r="K717" s="13" t="s">
        <v>1430</v>
      </c>
    </row>
    <row r="718">
      <c r="A718" s="7">
        <v>717.0</v>
      </c>
      <c r="B718" s="8">
        <v>11.0</v>
      </c>
      <c r="C718" s="8">
        <v>23.0</v>
      </c>
      <c r="D718" s="8">
        <v>51.0</v>
      </c>
      <c r="E718" s="8">
        <v>52.0</v>
      </c>
      <c r="F718" s="8">
        <v>53.0</v>
      </c>
      <c r="G718" s="8">
        <v>54.0</v>
      </c>
      <c r="H718" s="9">
        <v>27.0</v>
      </c>
      <c r="I718" s="4">
        <v>44681.0</v>
      </c>
      <c r="J718" s="5" t="s">
        <v>1431</v>
      </c>
      <c r="K718" s="10" t="s">
        <v>1432</v>
      </c>
    </row>
    <row r="719">
      <c r="A719" s="7">
        <v>718.0</v>
      </c>
      <c r="B719" s="8">
        <v>1.0</v>
      </c>
      <c r="C719" s="8">
        <v>22.0</v>
      </c>
      <c r="D719" s="8">
        <v>38.0</v>
      </c>
      <c r="E719" s="8">
        <v>48.0</v>
      </c>
      <c r="F719" s="8">
        <v>49.0</v>
      </c>
      <c r="G719" s="8">
        <v>53.0</v>
      </c>
      <c r="H719" s="9">
        <v>42.0</v>
      </c>
      <c r="I719" s="4">
        <v>44684.0</v>
      </c>
      <c r="J719" s="5" t="s">
        <v>1433</v>
      </c>
      <c r="K719" s="11" t="s">
        <v>1434</v>
      </c>
    </row>
    <row r="720">
      <c r="A720" s="7">
        <v>719.0</v>
      </c>
      <c r="B720" s="8">
        <v>27.0</v>
      </c>
      <c r="C720" s="8">
        <v>29.0</v>
      </c>
      <c r="D720" s="8">
        <v>33.0</v>
      </c>
      <c r="E720" s="8">
        <v>39.0</v>
      </c>
      <c r="F720" s="8">
        <v>47.0</v>
      </c>
      <c r="G720" s="8">
        <v>53.0</v>
      </c>
      <c r="H720" s="9">
        <v>55.0</v>
      </c>
      <c r="I720" s="4">
        <v>44686.0</v>
      </c>
      <c r="J720" s="5" t="s">
        <v>1435</v>
      </c>
      <c r="K720" s="10" t="s">
        <v>1436</v>
      </c>
    </row>
    <row r="721">
      <c r="A721" s="7">
        <v>720.0</v>
      </c>
      <c r="B721" s="8">
        <v>15.0</v>
      </c>
      <c r="C721" s="8">
        <v>32.0</v>
      </c>
      <c r="D721" s="8">
        <v>33.0</v>
      </c>
      <c r="E721" s="8">
        <v>36.0</v>
      </c>
      <c r="F721" s="8">
        <v>43.0</v>
      </c>
      <c r="G721" s="8">
        <v>46.0</v>
      </c>
      <c r="H721" s="9">
        <v>31.0</v>
      </c>
      <c r="I721" s="4">
        <v>44688.0</v>
      </c>
      <c r="J721" s="5" t="s">
        <v>1437</v>
      </c>
      <c r="K721" s="11" t="s">
        <v>1438</v>
      </c>
    </row>
    <row r="722">
      <c r="A722" s="7">
        <v>721.0</v>
      </c>
      <c r="B722" s="8">
        <v>12.0</v>
      </c>
      <c r="C722" s="8">
        <v>18.0</v>
      </c>
      <c r="D722" s="8">
        <v>41.0</v>
      </c>
      <c r="E722" s="8">
        <v>43.0</v>
      </c>
      <c r="F722" s="8">
        <v>47.0</v>
      </c>
      <c r="G722" s="8">
        <v>51.0</v>
      </c>
      <c r="H722" s="9">
        <v>10.0</v>
      </c>
      <c r="I722" s="4">
        <v>44691.0</v>
      </c>
      <c r="J722" s="5" t="s">
        <v>1439</v>
      </c>
      <c r="K722" s="10" t="s">
        <v>1440</v>
      </c>
    </row>
    <row r="723">
      <c r="A723" s="7">
        <v>722.0</v>
      </c>
      <c r="B723" s="8">
        <v>9.0</v>
      </c>
      <c r="C723" s="8">
        <v>18.0</v>
      </c>
      <c r="D723" s="8">
        <v>24.0</v>
      </c>
      <c r="E723" s="8">
        <v>43.0</v>
      </c>
      <c r="F723" s="8">
        <v>44.0</v>
      </c>
      <c r="G723" s="8">
        <v>50.0</v>
      </c>
      <c r="H723" s="9">
        <v>15.0</v>
      </c>
      <c r="I723" s="4">
        <v>44693.0</v>
      </c>
      <c r="J723" s="5" t="s">
        <v>1441</v>
      </c>
      <c r="K723" s="11" t="s">
        <v>1442</v>
      </c>
    </row>
    <row r="724">
      <c r="A724" s="7">
        <v>723.0</v>
      </c>
      <c r="B724" s="8">
        <v>2.0</v>
      </c>
      <c r="C724" s="8">
        <v>28.0</v>
      </c>
      <c r="D724" s="8">
        <v>30.0</v>
      </c>
      <c r="E724" s="8">
        <v>43.0</v>
      </c>
      <c r="F724" s="8">
        <v>44.0</v>
      </c>
      <c r="G724" s="8">
        <v>55.0</v>
      </c>
      <c r="H724" s="9">
        <v>22.0</v>
      </c>
      <c r="I724" s="4">
        <v>44695.0</v>
      </c>
      <c r="J724" s="5" t="s">
        <v>1443</v>
      </c>
      <c r="K724" s="12" t="s">
        <v>1444</v>
      </c>
    </row>
    <row r="725">
      <c r="A725" s="7">
        <v>724.0</v>
      </c>
      <c r="B725" s="8">
        <v>11.0</v>
      </c>
      <c r="C725" s="8">
        <v>17.0</v>
      </c>
      <c r="D725" s="8">
        <v>25.0</v>
      </c>
      <c r="E725" s="8">
        <v>29.0</v>
      </c>
      <c r="F725" s="8">
        <v>45.0</v>
      </c>
      <c r="G725" s="8">
        <v>48.0</v>
      </c>
      <c r="H725" s="9">
        <v>53.0</v>
      </c>
      <c r="I725" s="4">
        <v>44698.0</v>
      </c>
      <c r="J725" s="5" t="s">
        <v>1445</v>
      </c>
      <c r="K725" s="11" t="s">
        <v>1446</v>
      </c>
    </row>
    <row r="726">
      <c r="A726" s="7">
        <v>725.0</v>
      </c>
      <c r="B726" s="8">
        <v>3.0</v>
      </c>
      <c r="C726" s="8">
        <v>6.0</v>
      </c>
      <c r="D726" s="8">
        <v>31.0</v>
      </c>
      <c r="E726" s="8">
        <v>40.0</v>
      </c>
      <c r="F726" s="8">
        <v>47.0</v>
      </c>
      <c r="G726" s="8">
        <v>54.0</v>
      </c>
      <c r="H726" s="9">
        <v>8.0</v>
      </c>
      <c r="I726" s="4">
        <v>44700.0</v>
      </c>
      <c r="J726" s="5" t="s">
        <v>1447</v>
      </c>
      <c r="K726" s="10" t="s">
        <v>1448</v>
      </c>
    </row>
    <row r="727">
      <c r="A727" s="7">
        <v>726.0</v>
      </c>
      <c r="B727" s="8">
        <v>19.0</v>
      </c>
      <c r="C727" s="8">
        <v>32.0</v>
      </c>
      <c r="D727" s="8">
        <v>38.0</v>
      </c>
      <c r="E727" s="8">
        <v>40.0</v>
      </c>
      <c r="F727" s="8">
        <v>45.0</v>
      </c>
      <c r="G727" s="8">
        <v>48.0</v>
      </c>
      <c r="H727" s="9">
        <v>2.0</v>
      </c>
      <c r="I727" s="4">
        <v>44702.0</v>
      </c>
      <c r="J727" s="5" t="s">
        <v>1449</v>
      </c>
      <c r="K727" s="11" t="s">
        <v>1450</v>
      </c>
    </row>
    <row r="728">
      <c r="A728" s="7">
        <v>727.0</v>
      </c>
      <c r="B728" s="8">
        <v>18.0</v>
      </c>
      <c r="C728" s="8">
        <v>31.0</v>
      </c>
      <c r="D728" s="8">
        <v>32.0</v>
      </c>
      <c r="E728" s="8">
        <v>46.0</v>
      </c>
      <c r="F728" s="8">
        <v>50.0</v>
      </c>
      <c r="G728" s="8">
        <v>52.0</v>
      </c>
      <c r="H728" s="9">
        <v>28.0</v>
      </c>
      <c r="I728" s="4">
        <v>44705.0</v>
      </c>
      <c r="J728" s="5" t="s">
        <v>1451</v>
      </c>
      <c r="K728" s="10" t="s">
        <v>1452</v>
      </c>
    </row>
    <row r="729">
      <c r="A729" s="7">
        <v>728.0</v>
      </c>
      <c r="B729" s="8">
        <v>4.0</v>
      </c>
      <c r="C729" s="8">
        <v>30.0</v>
      </c>
      <c r="D729" s="8">
        <v>32.0</v>
      </c>
      <c r="E729" s="8">
        <v>39.0</v>
      </c>
      <c r="F729" s="8">
        <v>41.0</v>
      </c>
      <c r="G729" s="8">
        <v>53.0</v>
      </c>
      <c r="H729" s="9">
        <v>42.0</v>
      </c>
      <c r="I729" s="4">
        <v>44707.0</v>
      </c>
      <c r="J729" s="5" t="s">
        <v>1453</v>
      </c>
      <c r="K729" s="11" t="s">
        <v>1454</v>
      </c>
    </row>
    <row r="730">
      <c r="A730" s="7">
        <v>729.0</v>
      </c>
      <c r="B730" s="8">
        <v>33.0</v>
      </c>
      <c r="C730" s="8">
        <v>36.0</v>
      </c>
      <c r="D730" s="8">
        <v>38.0</v>
      </c>
      <c r="E730" s="8">
        <v>42.0</v>
      </c>
      <c r="F730" s="8">
        <v>43.0</v>
      </c>
      <c r="G730" s="8">
        <v>46.0</v>
      </c>
      <c r="H730" s="9">
        <v>3.0</v>
      </c>
      <c r="I730" s="4">
        <v>44709.0</v>
      </c>
      <c r="J730" s="5" t="s">
        <v>1455</v>
      </c>
      <c r="K730" s="10" t="s">
        <v>1456</v>
      </c>
    </row>
    <row r="731">
      <c r="A731" s="7">
        <v>730.0</v>
      </c>
      <c r="B731" s="8">
        <v>4.0</v>
      </c>
      <c r="C731" s="8">
        <v>10.0</v>
      </c>
      <c r="D731" s="8">
        <v>15.0</v>
      </c>
      <c r="E731" s="8">
        <v>16.0</v>
      </c>
      <c r="F731" s="8">
        <v>47.0</v>
      </c>
      <c r="G731" s="8">
        <v>51.0</v>
      </c>
      <c r="H731" s="9">
        <v>23.0</v>
      </c>
      <c r="I731" s="4">
        <v>44712.0</v>
      </c>
      <c r="J731" s="5" t="s">
        <v>1457</v>
      </c>
      <c r="K731" s="13" t="s">
        <v>1458</v>
      </c>
    </row>
    <row r="732">
      <c r="A732" s="7">
        <v>731.0</v>
      </c>
      <c r="B732" s="8">
        <v>7.0</v>
      </c>
      <c r="C732" s="8">
        <v>11.0</v>
      </c>
      <c r="D732" s="8">
        <v>28.0</v>
      </c>
      <c r="E732" s="8">
        <v>30.0</v>
      </c>
      <c r="F732" s="8">
        <v>33.0</v>
      </c>
      <c r="G732" s="8">
        <v>50.0</v>
      </c>
      <c r="H732" s="9">
        <v>49.0</v>
      </c>
      <c r="I732" s="4">
        <v>44714.0</v>
      </c>
      <c r="J732" s="5" t="s">
        <v>1459</v>
      </c>
      <c r="K732" s="10" t="s">
        <v>1460</v>
      </c>
    </row>
    <row r="733">
      <c r="A733" s="7">
        <v>732.0</v>
      </c>
      <c r="B733" s="8">
        <v>3.0</v>
      </c>
      <c r="C733" s="8">
        <v>17.0</v>
      </c>
      <c r="D733" s="8">
        <v>27.0</v>
      </c>
      <c r="E733" s="8">
        <v>30.0</v>
      </c>
      <c r="F733" s="8">
        <v>34.0</v>
      </c>
      <c r="G733" s="8">
        <v>49.0</v>
      </c>
      <c r="H733" s="9">
        <v>25.0</v>
      </c>
      <c r="I733" s="4">
        <v>44716.0</v>
      </c>
      <c r="J733" s="5" t="s">
        <v>1461</v>
      </c>
      <c r="K733" s="11" t="s">
        <v>1462</v>
      </c>
    </row>
    <row r="734">
      <c r="A734" s="7">
        <v>733.0</v>
      </c>
      <c r="B734" s="8">
        <v>16.0</v>
      </c>
      <c r="C734" s="8">
        <v>17.0</v>
      </c>
      <c r="D734" s="8">
        <v>21.0</v>
      </c>
      <c r="E734" s="8">
        <v>28.0</v>
      </c>
      <c r="F734" s="8">
        <v>39.0</v>
      </c>
      <c r="G734" s="8">
        <v>50.0</v>
      </c>
      <c r="H734" s="9">
        <v>19.0</v>
      </c>
      <c r="I734" s="4">
        <v>44719.0</v>
      </c>
      <c r="J734" s="5" t="s">
        <v>1463</v>
      </c>
      <c r="K734" s="10" t="s">
        <v>1464</v>
      </c>
    </row>
    <row r="735">
      <c r="A735" s="7">
        <v>734.0</v>
      </c>
      <c r="B735" s="8">
        <v>30.0</v>
      </c>
      <c r="C735" s="8">
        <v>31.0</v>
      </c>
      <c r="D735" s="8">
        <v>35.0</v>
      </c>
      <c r="E735" s="8">
        <v>43.0</v>
      </c>
      <c r="F735" s="8">
        <v>48.0</v>
      </c>
      <c r="G735" s="8">
        <v>50.0</v>
      </c>
      <c r="H735" s="9">
        <v>22.0</v>
      </c>
      <c r="I735" s="4">
        <v>44721.0</v>
      </c>
      <c r="J735" s="5" t="s">
        <v>1465</v>
      </c>
      <c r="K735" s="11" t="s">
        <v>1466</v>
      </c>
    </row>
    <row r="736">
      <c r="A736" s="7">
        <v>735.0</v>
      </c>
      <c r="B736" s="8">
        <v>10.0</v>
      </c>
      <c r="C736" s="8">
        <v>18.0</v>
      </c>
      <c r="D736" s="8">
        <v>23.0</v>
      </c>
      <c r="E736" s="8">
        <v>25.0</v>
      </c>
      <c r="F736" s="8">
        <v>45.0</v>
      </c>
      <c r="G736" s="8">
        <v>47.0</v>
      </c>
      <c r="H736" s="9">
        <v>38.0</v>
      </c>
      <c r="I736" s="4">
        <v>44723.0</v>
      </c>
      <c r="J736" s="5" t="s">
        <v>1467</v>
      </c>
      <c r="K736" s="10" t="s">
        <v>1468</v>
      </c>
    </row>
    <row r="737">
      <c r="A737" s="7">
        <v>736.0</v>
      </c>
      <c r="B737" s="8">
        <v>2.0</v>
      </c>
      <c r="C737" s="8">
        <v>15.0</v>
      </c>
      <c r="D737" s="8">
        <v>26.0</v>
      </c>
      <c r="E737" s="8">
        <v>32.0</v>
      </c>
      <c r="F737" s="8">
        <v>35.0</v>
      </c>
      <c r="G737" s="8">
        <v>36.0</v>
      </c>
      <c r="H737" s="9">
        <v>16.0</v>
      </c>
      <c r="I737" s="4">
        <v>44726.0</v>
      </c>
      <c r="J737" s="5" t="s">
        <v>1469</v>
      </c>
      <c r="K737" s="11" t="s">
        <v>1470</v>
      </c>
    </row>
    <row r="738">
      <c r="A738" s="7">
        <v>737.0</v>
      </c>
      <c r="B738" s="8">
        <v>9.0</v>
      </c>
      <c r="C738" s="8">
        <v>13.0</v>
      </c>
      <c r="D738" s="8">
        <v>21.0</v>
      </c>
      <c r="E738" s="8">
        <v>40.0</v>
      </c>
      <c r="F738" s="8">
        <v>51.0</v>
      </c>
      <c r="G738" s="8">
        <v>54.0</v>
      </c>
      <c r="H738" s="9">
        <v>4.0</v>
      </c>
      <c r="I738" s="4">
        <v>44728.0</v>
      </c>
      <c r="J738" s="5" t="s">
        <v>1471</v>
      </c>
      <c r="K738" s="10" t="s">
        <v>1472</v>
      </c>
    </row>
    <row r="739">
      <c r="A739" s="7">
        <v>738.0</v>
      </c>
      <c r="B739" s="8">
        <v>6.0</v>
      </c>
      <c r="C739" s="8">
        <v>27.0</v>
      </c>
      <c r="D739" s="8">
        <v>43.0</v>
      </c>
      <c r="E739" s="8">
        <v>44.0</v>
      </c>
      <c r="F739" s="8">
        <v>45.0</v>
      </c>
      <c r="G739" s="8">
        <v>47.0</v>
      </c>
      <c r="H739" s="9">
        <v>33.0</v>
      </c>
      <c r="I739" s="4">
        <v>44730.0</v>
      </c>
      <c r="J739" s="5" t="s">
        <v>1473</v>
      </c>
      <c r="K739" s="13" t="s">
        <v>1474</v>
      </c>
    </row>
    <row r="740">
      <c r="A740" s="7">
        <v>739.0</v>
      </c>
      <c r="B740" s="8">
        <v>9.0</v>
      </c>
      <c r="C740" s="8">
        <v>13.0</v>
      </c>
      <c r="D740" s="8">
        <v>19.0</v>
      </c>
      <c r="E740" s="8">
        <v>21.0</v>
      </c>
      <c r="F740" s="8">
        <v>34.0</v>
      </c>
      <c r="G740" s="8">
        <v>51.0</v>
      </c>
      <c r="H740" s="9">
        <v>35.0</v>
      </c>
      <c r="I740" s="4">
        <v>44733.0</v>
      </c>
      <c r="J740" s="5" t="s">
        <v>1475</v>
      </c>
      <c r="K740" s="10" t="s">
        <v>1476</v>
      </c>
    </row>
    <row r="741">
      <c r="A741" s="7">
        <v>740.0</v>
      </c>
      <c r="B741" s="8">
        <v>10.0</v>
      </c>
      <c r="C741" s="8">
        <v>22.0</v>
      </c>
      <c r="D741" s="8">
        <v>23.0</v>
      </c>
      <c r="E741" s="8">
        <v>34.0</v>
      </c>
      <c r="F741" s="8">
        <v>46.0</v>
      </c>
      <c r="G741" s="8">
        <v>54.0</v>
      </c>
      <c r="H741" s="9">
        <v>27.0</v>
      </c>
      <c r="I741" s="4">
        <v>44735.0</v>
      </c>
      <c r="J741" s="5" t="s">
        <v>1477</v>
      </c>
      <c r="K741" s="11" t="s">
        <v>1478</v>
      </c>
    </row>
    <row r="742">
      <c r="A742" s="7">
        <v>741.0</v>
      </c>
      <c r="B742" s="8">
        <v>14.0</v>
      </c>
      <c r="C742" s="8">
        <v>17.0</v>
      </c>
      <c r="D742" s="8">
        <v>31.0</v>
      </c>
      <c r="E742" s="8">
        <v>35.0</v>
      </c>
      <c r="F742" s="8">
        <v>37.0</v>
      </c>
      <c r="G742" s="8">
        <v>40.0</v>
      </c>
      <c r="H742" s="9">
        <v>28.0</v>
      </c>
      <c r="I742" s="4">
        <v>44737.0</v>
      </c>
      <c r="J742" s="5" t="s">
        <v>1479</v>
      </c>
      <c r="K742" s="10" t="s">
        <v>1480</v>
      </c>
    </row>
    <row r="743">
      <c r="A743" s="7">
        <v>742.0</v>
      </c>
      <c r="B743" s="8">
        <v>5.0</v>
      </c>
      <c r="C743" s="8">
        <v>22.0</v>
      </c>
      <c r="D743" s="8">
        <v>30.0</v>
      </c>
      <c r="E743" s="8">
        <v>32.0</v>
      </c>
      <c r="F743" s="8">
        <v>38.0</v>
      </c>
      <c r="G743" s="8">
        <v>55.0</v>
      </c>
      <c r="H743" s="9">
        <v>33.0</v>
      </c>
      <c r="I743" s="4">
        <v>44740.0</v>
      </c>
      <c r="J743" s="5" t="s">
        <v>1481</v>
      </c>
      <c r="K743" s="11" t="s">
        <v>1482</v>
      </c>
    </row>
    <row r="744">
      <c r="A744" s="7">
        <v>743.0</v>
      </c>
      <c r="B744" s="8">
        <v>5.0</v>
      </c>
      <c r="C744" s="8">
        <v>11.0</v>
      </c>
      <c r="D744" s="8">
        <v>15.0</v>
      </c>
      <c r="E744" s="8">
        <v>19.0</v>
      </c>
      <c r="F744" s="8">
        <v>29.0</v>
      </c>
      <c r="G744" s="8">
        <v>31.0</v>
      </c>
      <c r="H744" s="9">
        <v>35.0</v>
      </c>
      <c r="I744" s="4">
        <v>44742.0</v>
      </c>
      <c r="J744" s="5" t="s">
        <v>1483</v>
      </c>
      <c r="K744" s="10" t="s">
        <v>1484</v>
      </c>
    </row>
    <row r="745">
      <c r="A745" s="7">
        <v>744.0</v>
      </c>
      <c r="B745" s="8">
        <v>6.0</v>
      </c>
      <c r="C745" s="8">
        <v>26.0</v>
      </c>
      <c r="D745" s="8">
        <v>39.0</v>
      </c>
      <c r="E745" s="8">
        <v>40.0</v>
      </c>
      <c r="F745" s="8">
        <v>46.0</v>
      </c>
      <c r="G745" s="8">
        <v>47.0</v>
      </c>
      <c r="H745" s="9">
        <v>2.0</v>
      </c>
      <c r="I745" s="4">
        <v>44744.0</v>
      </c>
      <c r="J745" s="5" t="s">
        <v>1485</v>
      </c>
      <c r="K745" s="11" t="s">
        <v>1486</v>
      </c>
    </row>
    <row r="746">
      <c r="A746" s="7">
        <v>745.0</v>
      </c>
      <c r="B746" s="8">
        <v>5.0</v>
      </c>
      <c r="C746" s="8">
        <v>7.0</v>
      </c>
      <c r="D746" s="8">
        <v>12.0</v>
      </c>
      <c r="E746" s="8">
        <v>26.0</v>
      </c>
      <c r="F746" s="8">
        <v>29.0</v>
      </c>
      <c r="G746" s="8">
        <v>44.0</v>
      </c>
      <c r="H746" s="9">
        <v>38.0</v>
      </c>
      <c r="I746" s="4">
        <v>44747.0</v>
      </c>
      <c r="J746" s="5" t="s">
        <v>1487</v>
      </c>
      <c r="K746" s="10" t="s">
        <v>1488</v>
      </c>
    </row>
    <row r="747">
      <c r="A747" s="7">
        <v>746.0</v>
      </c>
      <c r="B747" s="8">
        <v>18.0</v>
      </c>
      <c r="C747" s="8">
        <v>24.0</v>
      </c>
      <c r="D747" s="8">
        <v>32.0</v>
      </c>
      <c r="E747" s="8">
        <v>43.0</v>
      </c>
      <c r="F747" s="8">
        <v>48.0</v>
      </c>
      <c r="G747" s="8">
        <v>55.0</v>
      </c>
      <c r="H747" s="9">
        <v>15.0</v>
      </c>
      <c r="I747" s="4">
        <v>44749.0</v>
      </c>
      <c r="J747" s="5" t="s">
        <v>1489</v>
      </c>
      <c r="K747" s="11" t="s">
        <v>1490</v>
      </c>
    </row>
    <row r="748">
      <c r="A748" s="7">
        <v>747.0</v>
      </c>
      <c r="B748" s="8">
        <v>5.0</v>
      </c>
      <c r="C748" s="8">
        <v>21.0</v>
      </c>
      <c r="D748" s="8">
        <v>24.0</v>
      </c>
      <c r="E748" s="8">
        <v>47.0</v>
      </c>
      <c r="F748" s="8">
        <v>52.0</v>
      </c>
      <c r="G748" s="8">
        <v>55.0</v>
      </c>
      <c r="H748" s="9">
        <v>20.0</v>
      </c>
      <c r="I748" s="4">
        <v>44751.0</v>
      </c>
      <c r="J748" s="5" t="s">
        <v>1491</v>
      </c>
      <c r="K748" s="10" t="s">
        <v>1492</v>
      </c>
    </row>
    <row r="749">
      <c r="A749" s="7">
        <v>748.0</v>
      </c>
      <c r="B749" s="8">
        <v>12.0</v>
      </c>
      <c r="C749" s="8">
        <v>13.0</v>
      </c>
      <c r="D749" s="8">
        <v>24.0</v>
      </c>
      <c r="E749" s="8">
        <v>25.0</v>
      </c>
      <c r="F749" s="8">
        <v>39.0</v>
      </c>
      <c r="G749" s="8">
        <v>41.0</v>
      </c>
      <c r="H749" s="9">
        <v>9.0</v>
      </c>
      <c r="I749" s="4">
        <v>44754.0</v>
      </c>
      <c r="J749" s="5" t="s">
        <v>1493</v>
      </c>
      <c r="K749" s="13" t="s">
        <v>1494</v>
      </c>
    </row>
    <row r="750">
      <c r="A750" s="7">
        <v>749.0</v>
      </c>
      <c r="B750" s="8">
        <v>11.0</v>
      </c>
      <c r="C750" s="8">
        <v>25.0</v>
      </c>
      <c r="D750" s="8">
        <v>29.0</v>
      </c>
      <c r="E750" s="8">
        <v>37.0</v>
      </c>
      <c r="F750" s="8">
        <v>39.0</v>
      </c>
      <c r="G750" s="8">
        <v>52.0</v>
      </c>
      <c r="H750" s="9">
        <v>45.0</v>
      </c>
      <c r="I750" s="4">
        <v>44756.0</v>
      </c>
      <c r="J750" s="5" t="s">
        <v>1495</v>
      </c>
      <c r="K750" s="12" t="s">
        <v>1496</v>
      </c>
    </row>
    <row r="751">
      <c r="A751" s="7">
        <v>750.0</v>
      </c>
      <c r="B751" s="8">
        <v>6.0</v>
      </c>
      <c r="C751" s="8">
        <v>13.0</v>
      </c>
      <c r="D751" s="8">
        <v>18.0</v>
      </c>
      <c r="E751" s="8">
        <v>27.0</v>
      </c>
      <c r="F751" s="8">
        <v>34.0</v>
      </c>
      <c r="G751" s="8">
        <v>46.0</v>
      </c>
      <c r="H751" s="9">
        <v>33.0</v>
      </c>
      <c r="I751" s="4">
        <v>44758.0</v>
      </c>
      <c r="J751" s="5" t="s">
        <v>1497</v>
      </c>
      <c r="K751" s="11" t="s">
        <v>1498</v>
      </c>
    </row>
    <row r="752">
      <c r="A752" s="7">
        <v>751.0</v>
      </c>
      <c r="B752" s="8">
        <v>8.0</v>
      </c>
      <c r="C752" s="8">
        <v>9.0</v>
      </c>
      <c r="D752" s="8">
        <v>33.0</v>
      </c>
      <c r="E752" s="8">
        <v>34.0</v>
      </c>
      <c r="F752" s="8">
        <v>35.0</v>
      </c>
      <c r="G752" s="8">
        <v>52.0</v>
      </c>
      <c r="H752" s="9">
        <v>36.0</v>
      </c>
      <c r="I752" s="4">
        <v>44761.0</v>
      </c>
      <c r="J752" s="5" t="s">
        <v>1499</v>
      </c>
      <c r="K752" s="10" t="s">
        <v>1500</v>
      </c>
    </row>
    <row r="753">
      <c r="A753" s="7">
        <v>752.0</v>
      </c>
      <c r="B753" s="8">
        <v>2.0</v>
      </c>
      <c r="C753" s="8">
        <v>20.0</v>
      </c>
      <c r="D753" s="8">
        <v>33.0</v>
      </c>
      <c r="E753" s="8">
        <v>45.0</v>
      </c>
      <c r="F753" s="8">
        <v>51.0</v>
      </c>
      <c r="G753" s="8">
        <v>55.0</v>
      </c>
      <c r="H753" s="9">
        <v>1.0</v>
      </c>
      <c r="I753" s="4">
        <v>44763.0</v>
      </c>
      <c r="J753" s="5" t="s">
        <v>1501</v>
      </c>
      <c r="K753" s="11" t="s">
        <v>1502</v>
      </c>
    </row>
    <row r="754">
      <c r="A754" s="7">
        <v>753.0</v>
      </c>
      <c r="B754" s="8">
        <v>27.0</v>
      </c>
      <c r="C754" s="8">
        <v>28.0</v>
      </c>
      <c r="D754" s="8">
        <v>29.0</v>
      </c>
      <c r="E754" s="8">
        <v>39.0</v>
      </c>
      <c r="F754" s="8">
        <v>40.0</v>
      </c>
      <c r="G754" s="8">
        <v>54.0</v>
      </c>
      <c r="H754" s="9">
        <v>13.0</v>
      </c>
      <c r="I754" s="4">
        <v>44765.0</v>
      </c>
      <c r="J754" s="5" t="s">
        <v>1503</v>
      </c>
      <c r="K754" s="10" t="s">
        <v>1504</v>
      </c>
    </row>
    <row r="755">
      <c r="A755" s="7">
        <v>754.0</v>
      </c>
      <c r="B755" s="8">
        <v>5.0</v>
      </c>
      <c r="C755" s="8">
        <v>8.0</v>
      </c>
      <c r="D755" s="8">
        <v>9.0</v>
      </c>
      <c r="E755" s="8">
        <v>13.0</v>
      </c>
      <c r="F755" s="8">
        <v>14.0</v>
      </c>
      <c r="G755" s="8">
        <v>47.0</v>
      </c>
      <c r="H755" s="9">
        <v>53.0</v>
      </c>
      <c r="I755" s="4">
        <v>44768.0</v>
      </c>
      <c r="J755" s="5" t="s">
        <v>1505</v>
      </c>
      <c r="K755" s="11" t="s">
        <v>1506</v>
      </c>
    </row>
    <row r="756">
      <c r="A756" s="7">
        <v>755.0</v>
      </c>
      <c r="B756" s="8">
        <v>5.0</v>
      </c>
      <c r="C756" s="8">
        <v>6.0</v>
      </c>
      <c r="D756" s="8">
        <v>17.0</v>
      </c>
      <c r="E756" s="8">
        <v>28.0</v>
      </c>
      <c r="F756" s="8">
        <v>29.0</v>
      </c>
      <c r="G756" s="8">
        <v>39.0</v>
      </c>
      <c r="H756" s="9">
        <v>34.0</v>
      </c>
      <c r="I756" s="4">
        <v>44770.0</v>
      </c>
      <c r="J756" s="5" t="s">
        <v>1507</v>
      </c>
      <c r="K756" s="10" t="s">
        <v>1508</v>
      </c>
    </row>
    <row r="757">
      <c r="A757" s="7">
        <v>756.0</v>
      </c>
      <c r="B757" s="8">
        <v>1.0</v>
      </c>
      <c r="C757" s="8">
        <v>4.0</v>
      </c>
      <c r="D757" s="8">
        <v>24.0</v>
      </c>
      <c r="E757" s="8">
        <v>35.0</v>
      </c>
      <c r="F757" s="8">
        <v>44.0</v>
      </c>
      <c r="G757" s="8">
        <v>47.0</v>
      </c>
      <c r="H757" s="9">
        <v>17.0</v>
      </c>
      <c r="I757" s="4">
        <v>44772.0</v>
      </c>
      <c r="J757" s="5" t="s">
        <v>1509</v>
      </c>
      <c r="K757" s="11" t="s">
        <v>1510</v>
      </c>
    </row>
    <row r="758">
      <c r="A758" s="7">
        <v>757.0</v>
      </c>
      <c r="B758" s="8">
        <v>2.0</v>
      </c>
      <c r="C758" s="8">
        <v>5.0</v>
      </c>
      <c r="D758" s="8">
        <v>28.0</v>
      </c>
      <c r="E758" s="8">
        <v>40.0</v>
      </c>
      <c r="F758" s="8">
        <v>47.0</v>
      </c>
      <c r="G758" s="8">
        <v>48.0</v>
      </c>
      <c r="H758" s="9">
        <v>31.0</v>
      </c>
      <c r="I758" s="4">
        <v>44775.0</v>
      </c>
      <c r="J758" s="5" t="s">
        <v>1511</v>
      </c>
      <c r="K758" s="10" t="s">
        <v>1512</v>
      </c>
    </row>
    <row r="759">
      <c r="A759" s="7">
        <v>758.0</v>
      </c>
      <c r="B759" s="8">
        <v>8.0</v>
      </c>
      <c r="C759" s="8">
        <v>9.0</v>
      </c>
      <c r="D759" s="8">
        <v>20.0</v>
      </c>
      <c r="E759" s="8">
        <v>41.0</v>
      </c>
      <c r="F759" s="8">
        <v>48.0</v>
      </c>
      <c r="G759" s="8">
        <v>54.0</v>
      </c>
      <c r="H759" s="9">
        <v>2.0</v>
      </c>
      <c r="I759" s="4">
        <v>44777.0</v>
      </c>
      <c r="J759" s="5" t="s">
        <v>1513</v>
      </c>
      <c r="K759" s="11" t="s">
        <v>1514</v>
      </c>
    </row>
    <row r="760">
      <c r="A760" s="7">
        <v>759.0</v>
      </c>
      <c r="B760" s="8">
        <v>6.0</v>
      </c>
      <c r="C760" s="8">
        <v>21.0</v>
      </c>
      <c r="D760" s="8">
        <v>27.0</v>
      </c>
      <c r="E760" s="8">
        <v>41.0</v>
      </c>
      <c r="F760" s="8">
        <v>51.0</v>
      </c>
      <c r="G760" s="8">
        <v>53.0</v>
      </c>
      <c r="H760" s="9">
        <v>43.0</v>
      </c>
      <c r="I760" s="4">
        <v>44779.0</v>
      </c>
      <c r="J760" s="5" t="s">
        <v>1515</v>
      </c>
      <c r="K760" s="10" t="s">
        <v>1516</v>
      </c>
    </row>
    <row r="761">
      <c r="A761" s="7">
        <v>760.0</v>
      </c>
      <c r="B761" s="8">
        <v>9.0</v>
      </c>
      <c r="C761" s="8">
        <v>10.0</v>
      </c>
      <c r="D761" s="8">
        <v>36.0</v>
      </c>
      <c r="E761" s="8">
        <v>41.0</v>
      </c>
      <c r="F761" s="8">
        <v>51.0</v>
      </c>
      <c r="G761" s="8">
        <v>55.0</v>
      </c>
      <c r="H761" s="9">
        <v>52.0</v>
      </c>
      <c r="I761" s="4">
        <v>44782.0</v>
      </c>
      <c r="J761" s="5" t="s">
        <v>1517</v>
      </c>
      <c r="K761" s="11" t="s">
        <v>1518</v>
      </c>
    </row>
    <row r="762">
      <c r="A762" s="7">
        <v>761.0</v>
      </c>
      <c r="B762" s="8">
        <v>1.0</v>
      </c>
      <c r="C762" s="8">
        <v>12.0</v>
      </c>
      <c r="D762" s="8">
        <v>21.0</v>
      </c>
      <c r="E762" s="8">
        <v>34.0</v>
      </c>
      <c r="F762" s="8">
        <v>48.0</v>
      </c>
      <c r="G762" s="8">
        <v>55.0</v>
      </c>
      <c r="H762" s="9">
        <v>50.0</v>
      </c>
      <c r="I762" s="4">
        <v>44784.0</v>
      </c>
      <c r="J762" s="5" t="s">
        <v>1519</v>
      </c>
      <c r="K762" s="10" t="s">
        <v>1520</v>
      </c>
    </row>
    <row r="763">
      <c r="A763" s="7">
        <v>762.0</v>
      </c>
      <c r="B763" s="8">
        <v>19.0</v>
      </c>
      <c r="C763" s="8">
        <v>28.0</v>
      </c>
      <c r="D763" s="8">
        <v>29.0</v>
      </c>
      <c r="E763" s="8">
        <v>30.0</v>
      </c>
      <c r="F763" s="8">
        <v>33.0</v>
      </c>
      <c r="G763" s="8">
        <v>36.0</v>
      </c>
      <c r="H763" s="9">
        <v>14.0</v>
      </c>
      <c r="I763" s="4">
        <v>44786.0</v>
      </c>
      <c r="J763" s="5" t="s">
        <v>1521</v>
      </c>
      <c r="K763" s="11" t="s">
        <v>1522</v>
      </c>
    </row>
    <row r="764">
      <c r="A764" s="7">
        <v>763.0</v>
      </c>
      <c r="B764" s="8">
        <v>17.0</v>
      </c>
      <c r="C764" s="8">
        <v>18.0</v>
      </c>
      <c r="D764" s="8">
        <v>28.0</v>
      </c>
      <c r="E764" s="8">
        <v>47.0</v>
      </c>
      <c r="F764" s="8">
        <v>50.0</v>
      </c>
      <c r="G764" s="8">
        <v>53.0</v>
      </c>
      <c r="H764" s="9">
        <v>11.0</v>
      </c>
      <c r="I764" s="4">
        <v>44789.0</v>
      </c>
      <c r="J764" s="5" t="s">
        <v>1523</v>
      </c>
      <c r="K764" s="12" t="s">
        <v>1524</v>
      </c>
    </row>
    <row r="765">
      <c r="A765" s="7">
        <v>764.0</v>
      </c>
      <c r="B765" s="8">
        <v>23.0</v>
      </c>
      <c r="C765" s="8">
        <v>27.0</v>
      </c>
      <c r="D765" s="8">
        <v>31.0</v>
      </c>
      <c r="E765" s="8">
        <v>37.0</v>
      </c>
      <c r="F765" s="8">
        <v>38.0</v>
      </c>
      <c r="G765" s="8">
        <v>42.0</v>
      </c>
      <c r="H765" s="9">
        <v>26.0</v>
      </c>
      <c r="I765" s="4">
        <v>44791.0</v>
      </c>
      <c r="J765" s="5" t="s">
        <v>1525</v>
      </c>
      <c r="K765" s="11" t="s">
        <v>1526</v>
      </c>
    </row>
    <row r="766">
      <c r="A766" s="7">
        <v>765.0</v>
      </c>
      <c r="B766" s="8">
        <v>6.0</v>
      </c>
      <c r="C766" s="8">
        <v>16.0</v>
      </c>
      <c r="D766" s="8">
        <v>29.0</v>
      </c>
      <c r="E766" s="8">
        <v>32.0</v>
      </c>
      <c r="F766" s="8">
        <v>42.0</v>
      </c>
      <c r="G766" s="8">
        <v>51.0</v>
      </c>
      <c r="H766" s="9">
        <v>43.0</v>
      </c>
      <c r="I766" s="4">
        <v>44793.0</v>
      </c>
      <c r="J766" s="5" t="s">
        <v>1527</v>
      </c>
      <c r="K766" s="12" t="s">
        <v>1528</v>
      </c>
    </row>
    <row r="767">
      <c r="A767" s="7">
        <v>766.0</v>
      </c>
      <c r="B767" s="8">
        <v>13.0</v>
      </c>
      <c r="C767" s="8">
        <v>21.0</v>
      </c>
      <c r="D767" s="8">
        <v>31.0</v>
      </c>
      <c r="E767" s="8">
        <v>41.0</v>
      </c>
      <c r="F767" s="8">
        <v>44.0</v>
      </c>
      <c r="G767" s="8">
        <v>45.0</v>
      </c>
      <c r="H767" s="9">
        <v>27.0</v>
      </c>
      <c r="I767" s="4">
        <v>44796.0</v>
      </c>
      <c r="J767" s="5" t="s">
        <v>1529</v>
      </c>
      <c r="K767" s="11" t="s">
        <v>1530</v>
      </c>
    </row>
    <row r="768">
      <c r="A768" s="7">
        <v>767.0</v>
      </c>
      <c r="B768" s="8">
        <v>19.0</v>
      </c>
      <c r="C768" s="8">
        <v>30.0</v>
      </c>
      <c r="D768" s="8">
        <v>35.0</v>
      </c>
      <c r="E768" s="8">
        <v>40.0</v>
      </c>
      <c r="F768" s="8">
        <v>49.0</v>
      </c>
      <c r="G768" s="8">
        <v>53.0</v>
      </c>
      <c r="H768" s="9">
        <v>42.0</v>
      </c>
      <c r="I768" s="4">
        <v>44798.0</v>
      </c>
      <c r="J768" s="5" t="s">
        <v>1531</v>
      </c>
      <c r="K768" s="10" t="s">
        <v>1532</v>
      </c>
    </row>
    <row r="769">
      <c r="A769" s="7">
        <v>768.0</v>
      </c>
      <c r="B769" s="8">
        <v>1.0</v>
      </c>
      <c r="C769" s="8">
        <v>5.0</v>
      </c>
      <c r="D769" s="8">
        <v>7.0</v>
      </c>
      <c r="E769" s="8">
        <v>10.0</v>
      </c>
      <c r="F769" s="8">
        <v>25.0</v>
      </c>
      <c r="G769" s="8">
        <v>48.0</v>
      </c>
      <c r="H769" s="9">
        <v>36.0</v>
      </c>
      <c r="I769" s="4">
        <v>44800.0</v>
      </c>
      <c r="J769" s="5" t="s">
        <v>1533</v>
      </c>
      <c r="K769" s="11" t="s">
        <v>1534</v>
      </c>
    </row>
    <row r="770">
      <c r="A770" s="7">
        <v>769.0</v>
      </c>
      <c r="B770" s="8">
        <v>2.0</v>
      </c>
      <c r="C770" s="8">
        <v>13.0</v>
      </c>
      <c r="D770" s="8">
        <v>19.0</v>
      </c>
      <c r="E770" s="8">
        <v>29.0</v>
      </c>
      <c r="F770" s="8">
        <v>30.0</v>
      </c>
      <c r="G770" s="8">
        <v>32.0</v>
      </c>
      <c r="H770" s="9">
        <v>16.0</v>
      </c>
      <c r="I770" s="4">
        <v>44803.0</v>
      </c>
      <c r="J770" s="5" t="s">
        <v>1535</v>
      </c>
      <c r="K770" s="10" t="s">
        <v>1536</v>
      </c>
    </row>
    <row r="771">
      <c r="A771" s="7">
        <v>770.0</v>
      </c>
      <c r="B771" s="8">
        <v>4.0</v>
      </c>
      <c r="C771" s="8">
        <v>14.0</v>
      </c>
      <c r="D771" s="8">
        <v>18.0</v>
      </c>
      <c r="E771" s="8">
        <v>39.0</v>
      </c>
      <c r="F771" s="8">
        <v>50.0</v>
      </c>
      <c r="G771" s="8">
        <v>53.0</v>
      </c>
      <c r="H771" s="9">
        <v>31.0</v>
      </c>
      <c r="I771" s="4">
        <v>44805.0</v>
      </c>
      <c r="J771" s="5" t="s">
        <v>1537</v>
      </c>
      <c r="K771" s="11" t="s">
        <v>1538</v>
      </c>
    </row>
    <row r="772">
      <c r="A772" s="7">
        <v>771.0</v>
      </c>
      <c r="B772" s="8">
        <v>11.0</v>
      </c>
      <c r="C772" s="8">
        <v>22.0</v>
      </c>
      <c r="D772" s="8">
        <v>31.0</v>
      </c>
      <c r="E772" s="8">
        <v>33.0</v>
      </c>
      <c r="F772" s="8">
        <v>40.0</v>
      </c>
      <c r="G772" s="8">
        <v>46.0</v>
      </c>
      <c r="H772" s="9">
        <v>41.0</v>
      </c>
      <c r="I772" s="4">
        <v>44807.0</v>
      </c>
      <c r="J772" s="5" t="s">
        <v>1539</v>
      </c>
      <c r="K772" s="10" t="s">
        <v>1540</v>
      </c>
    </row>
    <row r="773">
      <c r="A773" s="7">
        <v>772.0</v>
      </c>
      <c r="B773" s="8">
        <v>1.0</v>
      </c>
      <c r="C773" s="8">
        <v>5.0</v>
      </c>
      <c r="D773" s="8">
        <v>27.0</v>
      </c>
      <c r="E773" s="8">
        <v>43.0</v>
      </c>
      <c r="F773" s="8">
        <v>52.0</v>
      </c>
      <c r="G773" s="8">
        <v>54.0</v>
      </c>
      <c r="H773" s="9">
        <v>15.0</v>
      </c>
      <c r="I773" s="4">
        <v>44810.0</v>
      </c>
      <c r="J773" s="5" t="s">
        <v>1541</v>
      </c>
      <c r="K773" s="11" t="s">
        <v>1542</v>
      </c>
    </row>
    <row r="774">
      <c r="A774" s="7">
        <v>773.0</v>
      </c>
      <c r="B774" s="8">
        <v>9.0</v>
      </c>
      <c r="C774" s="8">
        <v>13.0</v>
      </c>
      <c r="D774" s="8">
        <v>23.0</v>
      </c>
      <c r="E774" s="8">
        <v>32.0</v>
      </c>
      <c r="F774" s="8">
        <v>36.0</v>
      </c>
      <c r="G774" s="8">
        <v>52.0</v>
      </c>
      <c r="H774" s="9">
        <v>43.0</v>
      </c>
      <c r="I774" s="4">
        <v>44812.0</v>
      </c>
      <c r="J774" s="5" t="s">
        <v>1543</v>
      </c>
      <c r="K774" s="12" t="s">
        <v>1544</v>
      </c>
    </row>
    <row r="775">
      <c r="A775" s="7">
        <v>774.0</v>
      </c>
      <c r="B775" s="8">
        <v>2.0</v>
      </c>
      <c r="C775" s="8">
        <v>8.0</v>
      </c>
      <c r="D775" s="8">
        <v>15.0</v>
      </c>
      <c r="E775" s="8">
        <v>19.0</v>
      </c>
      <c r="F775" s="8">
        <v>35.0</v>
      </c>
      <c r="G775" s="8">
        <v>38.0</v>
      </c>
      <c r="H775" s="9">
        <v>14.0</v>
      </c>
      <c r="I775" s="4">
        <v>44814.0</v>
      </c>
      <c r="J775" s="5" t="s">
        <v>1545</v>
      </c>
      <c r="K775" s="13" t="s">
        <v>1546</v>
      </c>
    </row>
    <row r="776">
      <c r="A776" s="7">
        <v>775.0</v>
      </c>
      <c r="B776" s="8">
        <v>9.0</v>
      </c>
      <c r="C776" s="8">
        <v>10.0</v>
      </c>
      <c r="D776" s="8">
        <v>21.0</v>
      </c>
      <c r="E776" s="8">
        <v>40.0</v>
      </c>
      <c r="F776" s="8">
        <v>41.0</v>
      </c>
      <c r="G776" s="8">
        <v>48.0</v>
      </c>
      <c r="H776" s="9">
        <v>54.0</v>
      </c>
      <c r="I776" s="4">
        <v>44817.0</v>
      </c>
      <c r="J776" s="5" t="s">
        <v>1547</v>
      </c>
      <c r="K776" s="10" t="s">
        <v>1548</v>
      </c>
    </row>
    <row r="777">
      <c r="A777" s="7">
        <v>776.0</v>
      </c>
      <c r="B777" s="8">
        <v>3.0</v>
      </c>
      <c r="C777" s="8">
        <v>8.0</v>
      </c>
      <c r="D777" s="8">
        <v>19.0</v>
      </c>
      <c r="E777" s="8">
        <v>30.0</v>
      </c>
      <c r="F777" s="8">
        <v>41.0</v>
      </c>
      <c r="G777" s="8">
        <v>52.0</v>
      </c>
      <c r="H777" s="9">
        <v>9.0</v>
      </c>
      <c r="I777" s="4">
        <v>44819.0</v>
      </c>
      <c r="J777" s="5" t="s">
        <v>1549</v>
      </c>
      <c r="K777" s="11" t="s">
        <v>1550</v>
      </c>
    </row>
    <row r="778">
      <c r="A778" s="7">
        <v>777.0</v>
      </c>
      <c r="B778" s="8">
        <v>5.0</v>
      </c>
      <c r="C778" s="8">
        <v>8.0</v>
      </c>
      <c r="D778" s="8">
        <v>19.0</v>
      </c>
      <c r="E778" s="8">
        <v>34.0</v>
      </c>
      <c r="F778" s="8">
        <v>40.0</v>
      </c>
      <c r="G778" s="8">
        <v>49.0</v>
      </c>
      <c r="H778" s="9">
        <v>39.0</v>
      </c>
      <c r="I778" s="4">
        <v>44821.0</v>
      </c>
      <c r="J778" s="5" t="s">
        <v>1551</v>
      </c>
      <c r="K778" s="10" t="s">
        <v>1552</v>
      </c>
    </row>
    <row r="779">
      <c r="A779" s="7">
        <v>778.0</v>
      </c>
      <c r="B779" s="8">
        <v>8.0</v>
      </c>
      <c r="C779" s="8">
        <v>27.0</v>
      </c>
      <c r="D779" s="8">
        <v>32.0</v>
      </c>
      <c r="E779" s="8">
        <v>43.0</v>
      </c>
      <c r="F779" s="8">
        <v>53.0</v>
      </c>
      <c r="G779" s="8">
        <v>54.0</v>
      </c>
      <c r="H779" s="9">
        <v>45.0</v>
      </c>
      <c r="I779" s="4">
        <v>44824.0</v>
      </c>
      <c r="J779" s="5" t="s">
        <v>1553</v>
      </c>
      <c r="K779" s="11" t="s">
        <v>1554</v>
      </c>
    </row>
    <row r="780">
      <c r="A780" s="7">
        <v>779.0</v>
      </c>
      <c r="B780" s="8">
        <v>12.0</v>
      </c>
      <c r="C780" s="8">
        <v>14.0</v>
      </c>
      <c r="D780" s="8">
        <v>19.0</v>
      </c>
      <c r="E780" s="8">
        <v>29.0</v>
      </c>
      <c r="F780" s="8">
        <v>44.0</v>
      </c>
      <c r="G780" s="8">
        <v>47.0</v>
      </c>
      <c r="H780" s="9">
        <v>26.0</v>
      </c>
      <c r="I780" s="4">
        <v>44826.0</v>
      </c>
      <c r="J780" s="5" t="s">
        <v>1555</v>
      </c>
      <c r="K780" s="12" t="s">
        <v>1556</v>
      </c>
    </row>
    <row r="781">
      <c r="A781" s="7">
        <v>780.0</v>
      </c>
      <c r="B781" s="8">
        <v>1.0</v>
      </c>
      <c r="C781" s="8">
        <v>4.0</v>
      </c>
      <c r="D781" s="8">
        <v>5.0</v>
      </c>
      <c r="E781" s="8">
        <v>17.0</v>
      </c>
      <c r="F781" s="8">
        <v>42.0</v>
      </c>
      <c r="G781" s="8">
        <v>47.0</v>
      </c>
      <c r="H781" s="9">
        <v>9.0</v>
      </c>
      <c r="I781" s="4">
        <v>44828.0</v>
      </c>
      <c r="J781" s="5" t="s">
        <v>1557</v>
      </c>
      <c r="K781" s="11" t="s">
        <v>1558</v>
      </c>
    </row>
    <row r="782">
      <c r="A782" s="7">
        <v>781.0</v>
      </c>
      <c r="B782" s="8">
        <v>11.0</v>
      </c>
      <c r="C782" s="8">
        <v>13.0</v>
      </c>
      <c r="D782" s="8">
        <v>23.0</v>
      </c>
      <c r="E782" s="8">
        <v>27.0</v>
      </c>
      <c r="F782" s="8">
        <v>37.0</v>
      </c>
      <c r="G782" s="8">
        <v>43.0</v>
      </c>
      <c r="H782" s="9">
        <v>34.0</v>
      </c>
      <c r="I782" s="4">
        <v>44831.0</v>
      </c>
      <c r="J782" s="5" t="s">
        <v>1559</v>
      </c>
      <c r="K782" s="10" t="s">
        <v>1560</v>
      </c>
    </row>
    <row r="783">
      <c r="A783" s="7">
        <v>782.0</v>
      </c>
      <c r="B783" s="8">
        <v>15.0</v>
      </c>
      <c r="C783" s="8">
        <v>32.0</v>
      </c>
      <c r="D783" s="8">
        <v>33.0</v>
      </c>
      <c r="E783" s="8">
        <v>37.0</v>
      </c>
      <c r="F783" s="8">
        <v>42.0</v>
      </c>
      <c r="G783" s="8">
        <v>54.0</v>
      </c>
      <c r="H783" s="9">
        <v>28.0</v>
      </c>
      <c r="I783" s="4">
        <v>44833.0</v>
      </c>
      <c r="J783" s="5" t="s">
        <v>1561</v>
      </c>
      <c r="K783" s="11" t="s">
        <v>1562</v>
      </c>
    </row>
    <row r="784">
      <c r="A784" s="7">
        <v>783.0</v>
      </c>
      <c r="B784" s="8">
        <v>14.0</v>
      </c>
      <c r="C784" s="8">
        <v>15.0</v>
      </c>
      <c r="D784" s="8">
        <v>16.0</v>
      </c>
      <c r="E784" s="8">
        <v>22.0</v>
      </c>
      <c r="F784" s="8">
        <v>23.0</v>
      </c>
      <c r="G784" s="8">
        <v>29.0</v>
      </c>
      <c r="H784" s="9">
        <v>20.0</v>
      </c>
      <c r="I784" s="4">
        <v>44835.0</v>
      </c>
      <c r="J784" s="5" t="s">
        <v>1563</v>
      </c>
      <c r="K784" s="10" t="s">
        <v>1564</v>
      </c>
    </row>
    <row r="785">
      <c r="A785" s="7">
        <v>784.0</v>
      </c>
      <c r="B785" s="8">
        <v>5.0</v>
      </c>
      <c r="C785" s="8">
        <v>11.0</v>
      </c>
      <c r="D785" s="8">
        <v>12.0</v>
      </c>
      <c r="E785" s="8">
        <v>22.0</v>
      </c>
      <c r="F785" s="8">
        <v>43.0</v>
      </c>
      <c r="G785" s="8">
        <v>45.0</v>
      </c>
      <c r="H785" s="9">
        <v>42.0</v>
      </c>
      <c r="I785" s="4">
        <v>44838.0</v>
      </c>
      <c r="J785" s="5" t="s">
        <v>1565</v>
      </c>
      <c r="K785" s="11" t="s">
        <v>1566</v>
      </c>
    </row>
    <row r="786">
      <c r="A786" s="7">
        <v>785.0</v>
      </c>
      <c r="B786" s="8">
        <v>6.0</v>
      </c>
      <c r="C786" s="8">
        <v>8.0</v>
      </c>
      <c r="D786" s="8">
        <v>19.0</v>
      </c>
      <c r="E786" s="8">
        <v>20.0</v>
      </c>
      <c r="F786" s="8">
        <v>47.0</v>
      </c>
      <c r="G786" s="8">
        <v>53.0</v>
      </c>
      <c r="H786" s="9">
        <v>7.0</v>
      </c>
      <c r="I786" s="4">
        <v>44840.0</v>
      </c>
      <c r="J786" s="5" t="s">
        <v>1567</v>
      </c>
      <c r="K786" s="10" t="s">
        <v>1568</v>
      </c>
    </row>
    <row r="787">
      <c r="A787" s="7">
        <v>786.0</v>
      </c>
      <c r="B787" s="8">
        <v>11.0</v>
      </c>
      <c r="C787" s="8">
        <v>17.0</v>
      </c>
      <c r="D787" s="8">
        <v>23.0</v>
      </c>
      <c r="E787" s="8">
        <v>34.0</v>
      </c>
      <c r="F787" s="8">
        <v>41.0</v>
      </c>
      <c r="G787" s="8">
        <v>51.0</v>
      </c>
      <c r="H787" s="9">
        <v>40.0</v>
      </c>
      <c r="I787" s="4">
        <v>44842.0</v>
      </c>
      <c r="J787" s="5" t="s">
        <v>1569</v>
      </c>
      <c r="K787" s="11" t="s">
        <v>1570</v>
      </c>
    </row>
    <row r="788">
      <c r="A788" s="7">
        <v>787.0</v>
      </c>
      <c r="B788" s="8">
        <v>11.0</v>
      </c>
      <c r="C788" s="8">
        <v>26.0</v>
      </c>
      <c r="D788" s="8">
        <v>34.0</v>
      </c>
      <c r="E788" s="8">
        <v>40.0</v>
      </c>
      <c r="F788" s="8">
        <v>46.0</v>
      </c>
      <c r="G788" s="8">
        <v>52.0</v>
      </c>
      <c r="H788" s="9">
        <v>1.0</v>
      </c>
      <c r="I788" s="4">
        <v>44845.0</v>
      </c>
      <c r="J788" s="5" t="s">
        <v>1571</v>
      </c>
      <c r="K788" s="10" t="s">
        <v>1572</v>
      </c>
    </row>
    <row r="789">
      <c r="A789" s="7">
        <v>788.0</v>
      </c>
      <c r="B789" s="8">
        <v>12.0</v>
      </c>
      <c r="C789" s="8">
        <v>13.0</v>
      </c>
      <c r="D789" s="8">
        <v>43.0</v>
      </c>
      <c r="E789" s="8">
        <v>48.0</v>
      </c>
      <c r="F789" s="8">
        <v>51.0</v>
      </c>
      <c r="G789" s="8">
        <v>52.0</v>
      </c>
      <c r="H789" s="9">
        <v>15.0</v>
      </c>
      <c r="I789" s="4">
        <v>44847.0</v>
      </c>
      <c r="J789" s="5" t="s">
        <v>1573</v>
      </c>
      <c r="K789" s="13" t="s">
        <v>1574</v>
      </c>
    </row>
    <row r="790">
      <c r="A790" s="7">
        <v>789.0</v>
      </c>
      <c r="B790" s="8">
        <v>8.0</v>
      </c>
      <c r="C790" s="8">
        <v>15.0</v>
      </c>
      <c r="D790" s="8">
        <v>16.0</v>
      </c>
      <c r="E790" s="8">
        <v>39.0</v>
      </c>
      <c r="F790" s="8">
        <v>45.0</v>
      </c>
      <c r="G790" s="8">
        <v>51.0</v>
      </c>
      <c r="H790" s="9">
        <v>23.0</v>
      </c>
      <c r="I790" s="4">
        <v>44849.0</v>
      </c>
      <c r="J790" s="5" t="s">
        <v>1575</v>
      </c>
      <c r="K790" s="10" t="s">
        <v>1576</v>
      </c>
    </row>
    <row r="791">
      <c r="A791" s="7">
        <v>790.0</v>
      </c>
      <c r="B791" s="8">
        <v>6.0</v>
      </c>
      <c r="C791" s="8">
        <v>30.0</v>
      </c>
      <c r="D791" s="8">
        <v>36.0</v>
      </c>
      <c r="E791" s="8">
        <v>39.0</v>
      </c>
      <c r="F791" s="8">
        <v>44.0</v>
      </c>
      <c r="G791" s="8">
        <v>46.0</v>
      </c>
      <c r="H791" s="9">
        <v>49.0</v>
      </c>
      <c r="I791" s="4">
        <v>44852.0</v>
      </c>
      <c r="J791" s="5" t="s">
        <v>1577</v>
      </c>
      <c r="K791" s="11" t="s">
        <v>1578</v>
      </c>
    </row>
    <row r="792">
      <c r="A792" s="7">
        <v>791.0</v>
      </c>
      <c r="B792" s="8">
        <v>15.0</v>
      </c>
      <c r="C792" s="8">
        <v>21.0</v>
      </c>
      <c r="D792" s="8">
        <v>27.0</v>
      </c>
      <c r="E792" s="8">
        <v>34.0</v>
      </c>
      <c r="F792" s="8">
        <v>37.0</v>
      </c>
      <c r="G792" s="8">
        <v>53.0</v>
      </c>
      <c r="H792" s="9">
        <v>29.0</v>
      </c>
      <c r="I792" s="4">
        <v>44854.0</v>
      </c>
      <c r="J792" s="5" t="s">
        <v>1579</v>
      </c>
      <c r="K792" s="10" t="s">
        <v>1580</v>
      </c>
    </row>
    <row r="793">
      <c r="A793" s="7">
        <v>792.0</v>
      </c>
      <c r="B793" s="8">
        <v>17.0</v>
      </c>
      <c r="C793" s="8">
        <v>19.0</v>
      </c>
      <c r="D793" s="8">
        <v>35.0</v>
      </c>
      <c r="E793" s="8">
        <v>42.0</v>
      </c>
      <c r="F793" s="8">
        <v>51.0</v>
      </c>
      <c r="G793" s="8">
        <v>52.0</v>
      </c>
      <c r="H793" s="9">
        <v>34.0</v>
      </c>
      <c r="I793" s="4">
        <v>44856.0</v>
      </c>
      <c r="J793" s="5" t="s">
        <v>1581</v>
      </c>
      <c r="K793" s="11" t="s">
        <v>1582</v>
      </c>
    </row>
    <row r="794">
      <c r="A794" s="7">
        <v>793.0</v>
      </c>
      <c r="B794" s="8">
        <v>8.0</v>
      </c>
      <c r="C794" s="8">
        <v>18.0</v>
      </c>
      <c r="D794" s="8">
        <v>20.0</v>
      </c>
      <c r="E794" s="8">
        <v>22.0</v>
      </c>
      <c r="F794" s="8">
        <v>42.0</v>
      </c>
      <c r="G794" s="8">
        <v>46.0</v>
      </c>
      <c r="H794" s="9">
        <v>1.0</v>
      </c>
      <c r="I794" s="4">
        <v>44859.0</v>
      </c>
      <c r="J794" s="5" t="s">
        <v>1583</v>
      </c>
      <c r="K794" s="12" t="s">
        <v>1584</v>
      </c>
    </row>
    <row r="795">
      <c r="A795" s="7">
        <v>794.0</v>
      </c>
      <c r="B795" s="8">
        <v>1.0</v>
      </c>
      <c r="C795" s="8">
        <v>7.0</v>
      </c>
      <c r="D795" s="8">
        <v>10.0</v>
      </c>
      <c r="E795" s="8">
        <v>17.0</v>
      </c>
      <c r="F795" s="8">
        <v>19.0</v>
      </c>
      <c r="G795" s="8">
        <v>30.0</v>
      </c>
      <c r="H795" s="9">
        <v>53.0</v>
      </c>
      <c r="I795" s="4">
        <v>44861.0</v>
      </c>
      <c r="J795" s="5" t="s">
        <v>1585</v>
      </c>
      <c r="K795" s="11" t="s">
        <v>1586</v>
      </c>
    </row>
    <row r="796">
      <c r="A796" s="7">
        <v>795.0</v>
      </c>
      <c r="B796" s="8">
        <v>1.0</v>
      </c>
      <c r="C796" s="8">
        <v>3.0</v>
      </c>
      <c r="D796" s="8">
        <v>10.0</v>
      </c>
      <c r="E796" s="8">
        <v>13.0</v>
      </c>
      <c r="F796" s="8">
        <v>15.0</v>
      </c>
      <c r="G796" s="8">
        <v>20.0</v>
      </c>
      <c r="H796" s="9">
        <v>32.0</v>
      </c>
      <c r="I796" s="4">
        <v>44863.0</v>
      </c>
      <c r="J796" s="5" t="s">
        <v>1587</v>
      </c>
      <c r="K796" s="10" t="s">
        <v>1588</v>
      </c>
    </row>
    <row r="797">
      <c r="A797" s="7">
        <v>796.0</v>
      </c>
      <c r="B797" s="8">
        <v>3.0</v>
      </c>
      <c r="C797" s="8">
        <v>9.0</v>
      </c>
      <c r="D797" s="8">
        <v>20.0</v>
      </c>
      <c r="E797" s="8">
        <v>23.0</v>
      </c>
      <c r="F797" s="8">
        <v>31.0</v>
      </c>
      <c r="G797" s="8">
        <v>54.0</v>
      </c>
      <c r="H797" s="9">
        <v>55.0</v>
      </c>
      <c r="I797" s="4">
        <v>44866.0</v>
      </c>
      <c r="J797" s="5" t="s">
        <v>1589</v>
      </c>
      <c r="K797" s="13" t="s">
        <v>1590</v>
      </c>
    </row>
    <row r="798">
      <c r="A798" s="7">
        <v>797.0</v>
      </c>
      <c r="B798" s="8">
        <v>8.0</v>
      </c>
      <c r="C798" s="8">
        <v>13.0</v>
      </c>
      <c r="D798" s="8">
        <v>24.0</v>
      </c>
      <c r="E798" s="8">
        <v>28.0</v>
      </c>
      <c r="F798" s="8">
        <v>29.0</v>
      </c>
      <c r="G798" s="8">
        <v>33.0</v>
      </c>
      <c r="H798" s="9">
        <v>49.0</v>
      </c>
      <c r="I798" s="4">
        <v>44868.0</v>
      </c>
      <c r="J798" s="5" t="s">
        <v>1591</v>
      </c>
      <c r="K798" s="10" t="s">
        <v>1592</v>
      </c>
    </row>
    <row r="799">
      <c r="A799" s="7">
        <v>798.0</v>
      </c>
      <c r="B799" s="8">
        <v>10.0</v>
      </c>
      <c r="C799" s="8">
        <v>19.0</v>
      </c>
      <c r="D799" s="8">
        <v>22.0</v>
      </c>
      <c r="E799" s="8">
        <v>25.0</v>
      </c>
      <c r="F799" s="8">
        <v>47.0</v>
      </c>
      <c r="G799" s="8">
        <v>53.0</v>
      </c>
      <c r="H799" s="9">
        <v>52.0</v>
      </c>
      <c r="I799" s="4">
        <v>44870.0</v>
      </c>
      <c r="J799" s="5" t="s">
        <v>1593</v>
      </c>
      <c r="K799" s="11" t="s">
        <v>1594</v>
      </c>
    </row>
    <row r="800">
      <c r="A800" s="7">
        <v>799.0</v>
      </c>
      <c r="B800" s="8">
        <v>12.0</v>
      </c>
      <c r="C800" s="8">
        <v>27.0</v>
      </c>
      <c r="D800" s="8">
        <v>33.0</v>
      </c>
      <c r="E800" s="8">
        <v>44.0</v>
      </c>
      <c r="F800" s="8">
        <v>48.0</v>
      </c>
      <c r="G800" s="8">
        <v>50.0</v>
      </c>
      <c r="H800" s="9">
        <v>18.0</v>
      </c>
      <c r="I800" s="4">
        <v>44873.0</v>
      </c>
      <c r="J800" s="5" t="s">
        <v>1595</v>
      </c>
      <c r="K800" s="12" t="s">
        <v>1596</v>
      </c>
    </row>
    <row r="801">
      <c r="A801" s="7">
        <v>800.0</v>
      </c>
      <c r="B801" s="8">
        <v>8.0</v>
      </c>
      <c r="C801" s="8">
        <v>11.0</v>
      </c>
      <c r="D801" s="8">
        <v>14.0</v>
      </c>
      <c r="E801" s="8">
        <v>27.0</v>
      </c>
      <c r="F801" s="8">
        <v>38.0</v>
      </c>
      <c r="G801" s="8">
        <v>45.0</v>
      </c>
      <c r="H801" s="9">
        <v>21.0</v>
      </c>
      <c r="I801" s="4">
        <v>44875.0</v>
      </c>
      <c r="J801" s="5" t="s">
        <v>1597</v>
      </c>
      <c r="K801" s="13" t="s">
        <v>1598</v>
      </c>
    </row>
    <row r="802">
      <c r="A802" s="7">
        <v>801.0</v>
      </c>
      <c r="B802" s="8">
        <v>8.0</v>
      </c>
      <c r="C802" s="8">
        <v>18.0</v>
      </c>
      <c r="D802" s="8">
        <v>23.0</v>
      </c>
      <c r="E802" s="8">
        <v>30.0</v>
      </c>
      <c r="F802" s="8">
        <v>35.0</v>
      </c>
      <c r="G802" s="8">
        <v>42.0</v>
      </c>
      <c r="H802" s="9">
        <v>43.0</v>
      </c>
      <c r="I802" s="4">
        <v>44877.0</v>
      </c>
      <c r="J802" s="5" t="s">
        <v>1599</v>
      </c>
      <c r="K802" s="10" t="s">
        <v>1600</v>
      </c>
    </row>
    <row r="803">
      <c r="A803" s="7">
        <v>802.0</v>
      </c>
      <c r="B803" s="8">
        <v>4.0</v>
      </c>
      <c r="C803" s="8">
        <v>20.0</v>
      </c>
      <c r="D803" s="8">
        <v>26.0</v>
      </c>
      <c r="E803" s="8">
        <v>36.0</v>
      </c>
      <c r="F803" s="8">
        <v>47.0</v>
      </c>
      <c r="G803" s="8">
        <v>51.0</v>
      </c>
      <c r="H803" s="9">
        <v>33.0</v>
      </c>
      <c r="I803" s="4">
        <v>44880.0</v>
      </c>
      <c r="J803" s="5" t="s">
        <v>1601</v>
      </c>
      <c r="K803" s="13" t="s">
        <v>1602</v>
      </c>
    </row>
    <row r="804">
      <c r="A804" s="7">
        <v>803.0</v>
      </c>
      <c r="B804" s="8">
        <v>1.0</v>
      </c>
      <c r="C804" s="8">
        <v>19.0</v>
      </c>
      <c r="D804" s="8">
        <v>25.0</v>
      </c>
      <c r="E804" s="8">
        <v>27.0</v>
      </c>
      <c r="F804" s="8">
        <v>38.0</v>
      </c>
      <c r="G804" s="8">
        <v>42.0</v>
      </c>
      <c r="H804" s="9">
        <v>54.0</v>
      </c>
      <c r="I804" s="4">
        <v>44882.0</v>
      </c>
      <c r="J804" s="5" t="s">
        <v>1603</v>
      </c>
      <c r="K804" s="12" t="s">
        <v>1604</v>
      </c>
    </row>
    <row r="805">
      <c r="A805" s="7">
        <v>804.0</v>
      </c>
      <c r="B805" s="8">
        <v>3.0</v>
      </c>
      <c r="C805" s="8">
        <v>15.0</v>
      </c>
      <c r="D805" s="8">
        <v>22.0</v>
      </c>
      <c r="E805" s="8">
        <v>39.0</v>
      </c>
      <c r="F805" s="8">
        <v>46.0</v>
      </c>
      <c r="G805" s="8">
        <v>48.0</v>
      </c>
      <c r="H805" s="9">
        <v>43.0</v>
      </c>
      <c r="I805" s="4">
        <v>44884.0</v>
      </c>
      <c r="J805" s="5" t="s">
        <v>1605</v>
      </c>
      <c r="K805" s="13" t="s">
        <v>1606</v>
      </c>
    </row>
    <row r="806">
      <c r="A806" s="7">
        <v>805.0</v>
      </c>
      <c r="B806" s="8">
        <v>3.0</v>
      </c>
      <c r="C806" s="8">
        <v>9.0</v>
      </c>
      <c r="D806" s="8">
        <v>21.0</v>
      </c>
      <c r="E806" s="8">
        <v>22.0</v>
      </c>
      <c r="F806" s="8">
        <v>26.0</v>
      </c>
      <c r="G806" s="8">
        <v>35.0</v>
      </c>
      <c r="H806" s="9">
        <v>15.0</v>
      </c>
      <c r="I806" s="4">
        <v>44887.0</v>
      </c>
      <c r="J806" s="5" t="s">
        <v>1607</v>
      </c>
      <c r="K806" s="12" t="s">
        <v>1608</v>
      </c>
    </row>
    <row r="807">
      <c r="A807" s="7">
        <v>806.0</v>
      </c>
      <c r="B807" s="8">
        <v>4.0</v>
      </c>
      <c r="C807" s="8">
        <v>6.0</v>
      </c>
      <c r="D807" s="8">
        <v>18.0</v>
      </c>
      <c r="E807" s="8">
        <v>27.0</v>
      </c>
      <c r="F807" s="8">
        <v>52.0</v>
      </c>
      <c r="G807" s="8">
        <v>53.0</v>
      </c>
      <c r="H807" s="9">
        <v>10.0</v>
      </c>
      <c r="I807" s="4">
        <v>44889.0</v>
      </c>
      <c r="J807" s="5" t="s">
        <v>1609</v>
      </c>
      <c r="K807" s="11" t="s">
        <v>1610</v>
      </c>
    </row>
    <row r="808">
      <c r="A808" s="7">
        <v>807.0</v>
      </c>
      <c r="B808" s="8">
        <v>8.0</v>
      </c>
      <c r="C808" s="8">
        <v>23.0</v>
      </c>
      <c r="D808" s="8">
        <v>24.0</v>
      </c>
      <c r="E808" s="8">
        <v>48.0</v>
      </c>
      <c r="F808" s="8">
        <v>49.0</v>
      </c>
      <c r="G808" s="8">
        <v>52.0</v>
      </c>
      <c r="H808" s="9">
        <v>1.0</v>
      </c>
      <c r="I808" s="4">
        <v>44891.0</v>
      </c>
      <c r="J808" s="5" t="s">
        <v>1611</v>
      </c>
      <c r="K808" s="10" t="s">
        <v>1612</v>
      </c>
    </row>
    <row r="809">
      <c r="A809" s="7">
        <v>808.0</v>
      </c>
      <c r="B809" s="8">
        <v>2.0</v>
      </c>
      <c r="C809" s="8">
        <v>13.0</v>
      </c>
      <c r="D809" s="8">
        <v>16.0</v>
      </c>
      <c r="E809" s="8">
        <v>18.0</v>
      </c>
      <c r="F809" s="8">
        <v>41.0</v>
      </c>
      <c r="G809" s="8">
        <v>42.0</v>
      </c>
      <c r="H809" s="9">
        <v>19.0</v>
      </c>
      <c r="I809" s="4">
        <v>44894.0</v>
      </c>
      <c r="J809" s="5" t="s">
        <v>1613</v>
      </c>
      <c r="K809" s="13" t="s">
        <v>1614</v>
      </c>
    </row>
    <row r="810">
      <c r="A810" s="7">
        <v>809.0</v>
      </c>
      <c r="B810" s="8">
        <v>11.0</v>
      </c>
      <c r="C810" s="8">
        <v>14.0</v>
      </c>
      <c r="D810" s="8">
        <v>29.0</v>
      </c>
      <c r="E810" s="8">
        <v>31.0</v>
      </c>
      <c r="F810" s="8">
        <v>52.0</v>
      </c>
      <c r="G810" s="8">
        <v>54.0</v>
      </c>
      <c r="H810" s="9">
        <v>7.0</v>
      </c>
      <c r="I810" s="4">
        <v>44896.0</v>
      </c>
      <c r="J810" s="5" t="s">
        <v>1615</v>
      </c>
      <c r="K810" s="10" t="s">
        <v>1616</v>
      </c>
    </row>
    <row r="811">
      <c r="A811" s="7">
        <v>810.0</v>
      </c>
      <c r="B811" s="8">
        <v>16.0</v>
      </c>
      <c r="C811" s="8">
        <v>17.0</v>
      </c>
      <c r="D811" s="8">
        <v>27.0</v>
      </c>
      <c r="E811" s="8">
        <v>48.0</v>
      </c>
      <c r="F811" s="8">
        <v>52.0</v>
      </c>
      <c r="G811" s="8">
        <v>53.0</v>
      </c>
      <c r="H811" s="9">
        <v>24.0</v>
      </c>
      <c r="I811" s="4">
        <v>44898.0</v>
      </c>
      <c r="J811" s="5" t="s">
        <v>1617</v>
      </c>
      <c r="K811" s="11" t="s">
        <v>1618</v>
      </c>
    </row>
    <row r="812">
      <c r="A812" s="7">
        <v>811.0</v>
      </c>
      <c r="B812" s="8">
        <v>1.0</v>
      </c>
      <c r="C812" s="8">
        <v>11.0</v>
      </c>
      <c r="D812" s="8">
        <v>25.0</v>
      </c>
      <c r="E812" s="8">
        <v>44.0</v>
      </c>
      <c r="F812" s="8">
        <v>45.0</v>
      </c>
      <c r="G812" s="8">
        <v>46.0</v>
      </c>
      <c r="H812" s="9">
        <v>35.0</v>
      </c>
      <c r="I812" s="4">
        <v>44901.0</v>
      </c>
      <c r="J812" s="5" t="s">
        <v>1619</v>
      </c>
      <c r="K812" s="10" t="s">
        <v>1620</v>
      </c>
    </row>
    <row r="813">
      <c r="A813" s="7">
        <v>812.0</v>
      </c>
      <c r="B813" s="8">
        <v>6.0</v>
      </c>
      <c r="C813" s="8">
        <v>30.0</v>
      </c>
      <c r="D813" s="8">
        <v>36.0</v>
      </c>
      <c r="E813" s="8">
        <v>41.0</v>
      </c>
      <c r="F813" s="8">
        <v>49.0</v>
      </c>
      <c r="G813" s="8">
        <v>55.0</v>
      </c>
      <c r="H813" s="9">
        <v>20.0</v>
      </c>
      <c r="I813" s="4">
        <v>44903.0</v>
      </c>
      <c r="J813" s="5" t="s">
        <v>1621</v>
      </c>
      <c r="K813" s="13" t="s">
        <v>1622</v>
      </c>
    </row>
    <row r="814">
      <c r="A814" s="7">
        <v>813.0</v>
      </c>
      <c r="B814" s="8">
        <v>2.0</v>
      </c>
      <c r="C814" s="8">
        <v>12.0</v>
      </c>
      <c r="D814" s="8">
        <v>13.0</v>
      </c>
      <c r="E814" s="8">
        <v>18.0</v>
      </c>
      <c r="F814" s="8">
        <v>33.0</v>
      </c>
      <c r="G814" s="8">
        <v>44.0</v>
      </c>
      <c r="H814" s="9">
        <v>31.0</v>
      </c>
      <c r="I814" s="4">
        <v>44905.0</v>
      </c>
      <c r="J814" s="5" t="s">
        <v>1623</v>
      </c>
      <c r="K814" s="10" t="s">
        <v>1624</v>
      </c>
    </row>
    <row r="815">
      <c r="A815" s="7">
        <v>814.0</v>
      </c>
      <c r="B815" s="8">
        <v>10.0</v>
      </c>
      <c r="C815" s="8">
        <v>22.0</v>
      </c>
      <c r="D815" s="8">
        <v>31.0</v>
      </c>
      <c r="E815" s="8">
        <v>37.0</v>
      </c>
      <c r="F815" s="8">
        <v>41.0</v>
      </c>
      <c r="G815" s="8">
        <v>52.0</v>
      </c>
      <c r="H815" s="9">
        <v>20.0</v>
      </c>
      <c r="I815" s="4">
        <v>44908.0</v>
      </c>
      <c r="J815" s="5" t="s">
        <v>1625</v>
      </c>
      <c r="K815" s="13" t="s">
        <v>1626</v>
      </c>
    </row>
    <row r="816">
      <c r="A816" s="7">
        <v>815.0</v>
      </c>
      <c r="B816" s="8">
        <v>2.0</v>
      </c>
      <c r="C816" s="8">
        <v>25.0</v>
      </c>
      <c r="D816" s="8">
        <v>38.0</v>
      </c>
      <c r="E816" s="8">
        <v>50.0</v>
      </c>
      <c r="F816" s="8">
        <v>51.0</v>
      </c>
      <c r="G816" s="8">
        <v>55.0</v>
      </c>
      <c r="H816" s="9">
        <v>21.0</v>
      </c>
      <c r="I816" s="4">
        <v>44910.0</v>
      </c>
      <c r="J816" s="5" t="s">
        <v>1627</v>
      </c>
      <c r="K816" s="10" t="s">
        <v>1628</v>
      </c>
    </row>
    <row r="817">
      <c r="A817" s="7">
        <v>816.0</v>
      </c>
      <c r="B817" s="8">
        <v>1.0</v>
      </c>
      <c r="C817" s="8">
        <v>2.0</v>
      </c>
      <c r="D817" s="8">
        <v>29.0</v>
      </c>
      <c r="E817" s="8">
        <v>34.0</v>
      </c>
      <c r="F817" s="8">
        <v>41.0</v>
      </c>
      <c r="G817" s="8">
        <v>42.0</v>
      </c>
      <c r="H817" s="9">
        <v>9.0</v>
      </c>
      <c r="I817" s="4">
        <v>44912.0</v>
      </c>
      <c r="J817" s="5" t="s">
        <v>1629</v>
      </c>
      <c r="K817" s="11" t="s">
        <v>1630</v>
      </c>
    </row>
    <row r="818">
      <c r="A818" s="7">
        <v>817.0</v>
      </c>
      <c r="B818" s="8">
        <v>2.0</v>
      </c>
      <c r="C818" s="8">
        <v>6.0</v>
      </c>
      <c r="D818" s="8">
        <v>9.0</v>
      </c>
      <c r="E818" s="8">
        <v>20.0</v>
      </c>
      <c r="F818" s="8">
        <v>31.0</v>
      </c>
      <c r="G818" s="8">
        <v>35.0</v>
      </c>
      <c r="H818" s="9">
        <v>42.0</v>
      </c>
      <c r="I818" s="4">
        <v>44915.0</v>
      </c>
      <c r="J818" s="5" t="s">
        <v>1631</v>
      </c>
      <c r="K818" s="12" t="s">
        <v>1632</v>
      </c>
    </row>
    <row r="819">
      <c r="A819" s="7">
        <v>818.0</v>
      </c>
      <c r="B819" s="8">
        <v>14.0</v>
      </c>
      <c r="C819" s="8">
        <v>26.0</v>
      </c>
      <c r="D819" s="8">
        <v>35.0</v>
      </c>
      <c r="E819" s="8">
        <v>43.0</v>
      </c>
      <c r="F819" s="8">
        <v>45.0</v>
      </c>
      <c r="G819" s="8">
        <v>48.0</v>
      </c>
      <c r="H819" s="9">
        <v>3.0</v>
      </c>
      <c r="I819" s="4">
        <v>44917.0</v>
      </c>
      <c r="J819" s="5" t="s">
        <v>1633</v>
      </c>
      <c r="K819" s="11" t="s">
        <v>1634</v>
      </c>
    </row>
    <row r="820">
      <c r="A820" s="7">
        <v>819.0</v>
      </c>
      <c r="B820" s="8">
        <v>5.0</v>
      </c>
      <c r="C820" s="8">
        <v>19.0</v>
      </c>
      <c r="D820" s="8">
        <v>22.0</v>
      </c>
      <c r="E820" s="8">
        <v>23.0</v>
      </c>
      <c r="F820" s="8">
        <v>30.0</v>
      </c>
      <c r="G820" s="8">
        <v>44.0</v>
      </c>
      <c r="H820" s="9">
        <v>52.0</v>
      </c>
      <c r="I820" s="4">
        <v>44919.0</v>
      </c>
      <c r="J820" s="5" t="s">
        <v>1635</v>
      </c>
      <c r="K820" s="10" t="s">
        <v>1636</v>
      </c>
    </row>
    <row r="821">
      <c r="A821" s="7">
        <v>820.0</v>
      </c>
      <c r="B821" s="8">
        <v>11.0</v>
      </c>
      <c r="C821" s="8">
        <v>12.0</v>
      </c>
      <c r="D821" s="8">
        <v>13.0</v>
      </c>
      <c r="E821" s="8">
        <v>14.0</v>
      </c>
      <c r="F821" s="8">
        <v>23.0</v>
      </c>
      <c r="G821" s="8">
        <v>55.0</v>
      </c>
      <c r="H821" s="9">
        <v>27.0</v>
      </c>
      <c r="I821" s="4">
        <v>44922.0</v>
      </c>
      <c r="J821" s="5" t="s">
        <v>1637</v>
      </c>
      <c r="K821" s="11" t="s">
        <v>1638</v>
      </c>
    </row>
    <row r="822">
      <c r="A822" s="7">
        <v>821.0</v>
      </c>
      <c r="B822" s="8">
        <v>6.0</v>
      </c>
      <c r="C822" s="8">
        <v>8.0</v>
      </c>
      <c r="D822" s="8">
        <v>33.0</v>
      </c>
      <c r="E822" s="8">
        <v>37.0</v>
      </c>
      <c r="F822" s="8">
        <v>38.0</v>
      </c>
      <c r="G822" s="8">
        <v>51.0</v>
      </c>
      <c r="H822" s="9">
        <v>48.0</v>
      </c>
      <c r="I822" s="4">
        <v>44924.0</v>
      </c>
      <c r="J822" s="5" t="s">
        <v>1639</v>
      </c>
      <c r="K822" s="10" t="s">
        <v>1640</v>
      </c>
    </row>
    <row r="823">
      <c r="A823" s="7">
        <v>822.0</v>
      </c>
      <c r="B823" s="8">
        <v>10.0</v>
      </c>
      <c r="C823" s="8">
        <v>15.0</v>
      </c>
      <c r="D823" s="8">
        <v>36.0</v>
      </c>
      <c r="E823" s="8">
        <v>42.0</v>
      </c>
      <c r="F823" s="8">
        <v>45.0</v>
      </c>
      <c r="G823" s="8">
        <v>52.0</v>
      </c>
      <c r="H823" s="9">
        <v>20.0</v>
      </c>
      <c r="I823" s="4">
        <v>44926.0</v>
      </c>
      <c r="J823" s="5" t="s">
        <v>1641</v>
      </c>
      <c r="K823" s="13" t="s">
        <v>1642</v>
      </c>
    </row>
    <row r="824">
      <c r="A824" s="7">
        <v>823.0</v>
      </c>
      <c r="B824" s="8">
        <v>9.0</v>
      </c>
      <c r="C824" s="8">
        <v>13.0</v>
      </c>
      <c r="D824" s="8">
        <v>24.0</v>
      </c>
      <c r="E824" s="8">
        <v>43.0</v>
      </c>
      <c r="F824" s="8">
        <v>47.0</v>
      </c>
      <c r="G824" s="8">
        <v>48.0</v>
      </c>
      <c r="H824" s="9">
        <v>18.0</v>
      </c>
      <c r="I824" s="4">
        <v>44929.0</v>
      </c>
      <c r="J824" s="5" t="s">
        <v>1643</v>
      </c>
      <c r="K824" s="10" t="s">
        <v>1644</v>
      </c>
    </row>
    <row r="825">
      <c r="A825" s="7">
        <v>824.0</v>
      </c>
      <c r="B825" s="8">
        <v>5.0</v>
      </c>
      <c r="C825" s="8">
        <v>12.0</v>
      </c>
      <c r="D825" s="8">
        <v>34.0</v>
      </c>
      <c r="E825" s="8">
        <v>37.0</v>
      </c>
      <c r="F825" s="8">
        <v>47.0</v>
      </c>
      <c r="G825" s="8">
        <v>49.0</v>
      </c>
      <c r="H825" s="9">
        <v>28.0</v>
      </c>
      <c r="I825" s="4">
        <v>44931.0</v>
      </c>
      <c r="J825" s="5" t="s">
        <v>1645</v>
      </c>
      <c r="K825" s="13" t="s">
        <v>1646</v>
      </c>
    </row>
    <row r="826">
      <c r="A826" s="7">
        <v>825.0</v>
      </c>
      <c r="B826" s="8">
        <v>3.0</v>
      </c>
      <c r="C826" s="8">
        <v>4.0</v>
      </c>
      <c r="D826" s="8">
        <v>9.0</v>
      </c>
      <c r="E826" s="8">
        <v>15.0</v>
      </c>
      <c r="F826" s="8">
        <v>33.0</v>
      </c>
      <c r="G826" s="8">
        <v>54.0</v>
      </c>
      <c r="H826" s="9">
        <v>16.0</v>
      </c>
      <c r="I826" s="4">
        <v>44933.0</v>
      </c>
      <c r="J826" s="5" t="s">
        <v>1647</v>
      </c>
      <c r="K826" s="10" t="s">
        <v>1648</v>
      </c>
    </row>
    <row r="827">
      <c r="A827" s="7">
        <v>826.0</v>
      </c>
      <c r="B827" s="8">
        <v>5.0</v>
      </c>
      <c r="C827" s="8">
        <v>12.0</v>
      </c>
      <c r="D827" s="8">
        <v>14.0</v>
      </c>
      <c r="E827" s="8">
        <v>19.0</v>
      </c>
      <c r="F827" s="8">
        <v>46.0</v>
      </c>
      <c r="G827" s="8">
        <v>51.0</v>
      </c>
      <c r="H827" s="9">
        <v>36.0</v>
      </c>
      <c r="I827" s="4">
        <v>44936.0</v>
      </c>
      <c r="J827" s="5" t="s">
        <v>1649</v>
      </c>
      <c r="K827" s="11" t="s">
        <v>1650</v>
      </c>
    </row>
    <row r="828">
      <c r="A828" s="7">
        <v>827.0</v>
      </c>
      <c r="B828" s="8">
        <v>5.0</v>
      </c>
      <c r="C828" s="8">
        <v>14.0</v>
      </c>
      <c r="D828" s="8">
        <v>37.0</v>
      </c>
      <c r="E828" s="8">
        <v>45.0</v>
      </c>
      <c r="F828" s="8">
        <v>47.0</v>
      </c>
      <c r="G828" s="8">
        <v>55.0</v>
      </c>
      <c r="H828" s="9">
        <v>25.0</v>
      </c>
      <c r="I828" s="4">
        <v>44938.0</v>
      </c>
      <c r="J828" s="5" t="s">
        <v>1651</v>
      </c>
      <c r="K828" s="10" t="s">
        <v>1652</v>
      </c>
    </row>
    <row r="829">
      <c r="A829" s="7">
        <v>828.0</v>
      </c>
      <c r="B829" s="8">
        <v>5.0</v>
      </c>
      <c r="C829" s="8">
        <v>17.0</v>
      </c>
      <c r="D829" s="8">
        <v>24.0</v>
      </c>
      <c r="E829" s="8">
        <v>30.0</v>
      </c>
      <c r="F829" s="8">
        <v>43.0</v>
      </c>
      <c r="G829" s="8">
        <v>53.0</v>
      </c>
      <c r="H829" s="9">
        <v>26.0</v>
      </c>
      <c r="I829" s="4">
        <v>44940.0</v>
      </c>
      <c r="J829" s="5" t="s">
        <v>1653</v>
      </c>
      <c r="K829" s="13" t="s">
        <v>1654</v>
      </c>
    </row>
    <row r="830">
      <c r="A830" s="7">
        <v>829.0</v>
      </c>
      <c r="B830" s="8">
        <v>1.0</v>
      </c>
      <c r="C830" s="8">
        <v>9.0</v>
      </c>
      <c r="D830" s="8">
        <v>20.0</v>
      </c>
      <c r="E830" s="8">
        <v>36.0</v>
      </c>
      <c r="F830" s="8">
        <v>44.0</v>
      </c>
      <c r="G830" s="8">
        <v>50.0</v>
      </c>
      <c r="H830" s="9">
        <v>40.0</v>
      </c>
      <c r="I830" s="4">
        <v>44943.0</v>
      </c>
      <c r="J830" s="5" t="s">
        <v>1655</v>
      </c>
      <c r="K830" s="10" t="s">
        <v>1656</v>
      </c>
    </row>
    <row r="831">
      <c r="A831" s="7">
        <v>830.0</v>
      </c>
      <c r="B831" s="8">
        <v>3.0</v>
      </c>
      <c r="C831" s="8">
        <v>21.0</v>
      </c>
      <c r="D831" s="8">
        <v>32.0</v>
      </c>
      <c r="E831" s="8">
        <v>33.0</v>
      </c>
      <c r="F831" s="8">
        <v>38.0</v>
      </c>
      <c r="G831" s="8">
        <v>52.0</v>
      </c>
      <c r="H831" s="9">
        <v>30.0</v>
      </c>
      <c r="I831" s="4">
        <v>44945.0</v>
      </c>
      <c r="J831" s="5" t="s">
        <v>1657</v>
      </c>
      <c r="K831" s="11" t="s">
        <v>1658</v>
      </c>
    </row>
    <row r="832">
      <c r="A832" s="7">
        <v>831.0</v>
      </c>
      <c r="B832" s="8">
        <v>3.0</v>
      </c>
      <c r="C832" s="8">
        <v>5.0</v>
      </c>
      <c r="D832" s="8">
        <v>10.0</v>
      </c>
      <c r="E832" s="8">
        <v>12.0</v>
      </c>
      <c r="F832" s="8">
        <v>29.0</v>
      </c>
      <c r="G832" s="8">
        <v>30.0</v>
      </c>
      <c r="H832" s="9">
        <v>9.0</v>
      </c>
      <c r="I832" s="4">
        <v>44950.0</v>
      </c>
      <c r="J832" s="5" t="s">
        <v>1659</v>
      </c>
      <c r="K832" s="10" t="s">
        <v>1660</v>
      </c>
    </row>
    <row r="833">
      <c r="A833" s="7">
        <v>832.0</v>
      </c>
      <c r="B833" s="8">
        <v>8.0</v>
      </c>
      <c r="C833" s="8">
        <v>15.0</v>
      </c>
      <c r="D833" s="8">
        <v>18.0</v>
      </c>
      <c r="E833" s="8">
        <v>20.0</v>
      </c>
      <c r="F833" s="8">
        <v>33.0</v>
      </c>
      <c r="G833" s="8">
        <v>41.0</v>
      </c>
      <c r="H833" s="9">
        <v>14.0</v>
      </c>
      <c r="I833" s="4">
        <v>44952.0</v>
      </c>
      <c r="J833" s="5" t="s">
        <v>1661</v>
      </c>
      <c r="K833" s="11" t="s">
        <v>1662</v>
      </c>
    </row>
    <row r="834">
      <c r="A834" s="7">
        <v>833.0</v>
      </c>
      <c r="B834" s="8">
        <v>9.0</v>
      </c>
      <c r="C834" s="8">
        <v>22.0</v>
      </c>
      <c r="D834" s="8">
        <v>23.0</v>
      </c>
      <c r="E834" s="8">
        <v>29.0</v>
      </c>
      <c r="F834" s="8">
        <v>38.0</v>
      </c>
      <c r="G834" s="8">
        <v>47.0</v>
      </c>
      <c r="H834" s="9">
        <v>33.0</v>
      </c>
      <c r="I834" s="4">
        <v>44954.0</v>
      </c>
      <c r="J834" s="5" t="s">
        <v>1663</v>
      </c>
      <c r="K834" s="12" t="s">
        <v>1664</v>
      </c>
    </row>
    <row r="835">
      <c r="A835" s="7">
        <v>834.0</v>
      </c>
      <c r="B835" s="8">
        <v>10.0</v>
      </c>
      <c r="C835" s="8">
        <v>11.0</v>
      </c>
      <c r="D835" s="8">
        <v>31.0</v>
      </c>
      <c r="E835" s="8">
        <v>32.0</v>
      </c>
      <c r="F835" s="8">
        <v>38.0</v>
      </c>
      <c r="G835" s="8">
        <v>52.0</v>
      </c>
      <c r="H835" s="9">
        <v>5.0</v>
      </c>
      <c r="I835" s="4">
        <v>44957.0</v>
      </c>
      <c r="J835" s="5" t="s">
        <v>1665</v>
      </c>
      <c r="K835" s="11" t="s">
        <v>1666</v>
      </c>
    </row>
    <row r="836">
      <c r="A836" s="7">
        <v>835.0</v>
      </c>
      <c r="B836" s="8">
        <v>3.0</v>
      </c>
      <c r="C836" s="8">
        <v>10.0</v>
      </c>
      <c r="D836" s="8">
        <v>23.0</v>
      </c>
      <c r="E836" s="8">
        <v>29.0</v>
      </c>
      <c r="F836" s="8">
        <v>34.0</v>
      </c>
      <c r="G836" s="8">
        <v>53.0</v>
      </c>
      <c r="H836" s="9">
        <v>11.0</v>
      </c>
      <c r="I836" s="4">
        <v>44959.0</v>
      </c>
      <c r="J836" s="5" t="s">
        <v>1667</v>
      </c>
      <c r="K836" s="10" t="s">
        <v>1668</v>
      </c>
    </row>
    <row r="837">
      <c r="A837" s="7">
        <v>836.0</v>
      </c>
      <c r="B837" s="8">
        <v>2.0</v>
      </c>
      <c r="C837" s="8">
        <v>6.0</v>
      </c>
      <c r="D837" s="8">
        <v>8.0</v>
      </c>
      <c r="E837" s="8">
        <v>27.0</v>
      </c>
      <c r="F837" s="8">
        <v>41.0</v>
      </c>
      <c r="G837" s="8">
        <v>46.0</v>
      </c>
      <c r="H837" s="9">
        <v>20.0</v>
      </c>
      <c r="I837" s="4">
        <v>44961.0</v>
      </c>
      <c r="J837" s="5" t="s">
        <v>1669</v>
      </c>
      <c r="K837" s="11" t="s">
        <v>1670</v>
      </c>
    </row>
    <row r="838">
      <c r="A838" s="7">
        <v>837.0</v>
      </c>
      <c r="B838" s="8">
        <v>6.0</v>
      </c>
      <c r="C838" s="8">
        <v>27.0</v>
      </c>
      <c r="D838" s="8">
        <v>29.0</v>
      </c>
      <c r="E838" s="8">
        <v>32.0</v>
      </c>
      <c r="F838" s="8">
        <v>39.0</v>
      </c>
      <c r="G838" s="8">
        <v>52.0</v>
      </c>
      <c r="H838" s="9">
        <v>9.0</v>
      </c>
      <c r="I838" s="4">
        <v>44964.0</v>
      </c>
      <c r="J838" s="5" t="s">
        <v>1671</v>
      </c>
      <c r="K838" s="12" t="s">
        <v>1672</v>
      </c>
    </row>
    <row r="839">
      <c r="A839" s="7">
        <v>838.0</v>
      </c>
      <c r="B839" s="8">
        <v>1.0</v>
      </c>
      <c r="C839" s="8">
        <v>10.0</v>
      </c>
      <c r="D839" s="8">
        <v>29.0</v>
      </c>
      <c r="E839" s="8">
        <v>30.0</v>
      </c>
      <c r="F839" s="8">
        <v>49.0</v>
      </c>
      <c r="G839" s="8">
        <v>50.0</v>
      </c>
      <c r="H839" s="9">
        <v>9.0</v>
      </c>
      <c r="I839" s="4">
        <v>44966.0</v>
      </c>
      <c r="J839" s="5" t="s">
        <v>1673</v>
      </c>
      <c r="K839" s="11" t="s">
        <v>1674</v>
      </c>
    </row>
    <row r="840">
      <c r="A840" s="7">
        <v>839.0</v>
      </c>
      <c r="B840" s="8">
        <v>4.0</v>
      </c>
      <c r="C840" s="8">
        <v>13.0</v>
      </c>
      <c r="D840" s="8">
        <v>45.0</v>
      </c>
      <c r="E840" s="8">
        <v>48.0</v>
      </c>
      <c r="F840" s="8">
        <v>52.0</v>
      </c>
      <c r="G840" s="8">
        <v>54.0</v>
      </c>
      <c r="H840" s="9">
        <v>5.0</v>
      </c>
      <c r="I840" s="4">
        <v>44968.0</v>
      </c>
      <c r="J840" s="5" t="s">
        <v>1675</v>
      </c>
      <c r="K840" s="10" t="s">
        <v>1676</v>
      </c>
    </row>
    <row r="841">
      <c r="A841" s="7">
        <v>840.0</v>
      </c>
      <c r="B841" s="8">
        <v>1.0</v>
      </c>
      <c r="C841" s="8">
        <v>9.0</v>
      </c>
      <c r="D841" s="8">
        <v>33.0</v>
      </c>
      <c r="E841" s="8">
        <v>37.0</v>
      </c>
      <c r="F841" s="8">
        <v>43.0</v>
      </c>
      <c r="G841" s="8">
        <v>45.0</v>
      </c>
      <c r="H841" s="9">
        <v>23.0</v>
      </c>
      <c r="I841" s="4">
        <v>44971.0</v>
      </c>
      <c r="J841" s="5" t="s">
        <v>1677</v>
      </c>
      <c r="K841" s="13" t="s">
        <v>1678</v>
      </c>
    </row>
    <row r="842">
      <c r="A842" s="7">
        <v>841.0</v>
      </c>
      <c r="B842" s="8">
        <v>1.0</v>
      </c>
      <c r="C842" s="8">
        <v>5.0</v>
      </c>
      <c r="D842" s="8">
        <v>7.0</v>
      </c>
      <c r="E842" s="8">
        <v>8.0</v>
      </c>
      <c r="F842" s="8">
        <v>20.0</v>
      </c>
      <c r="G842" s="8">
        <v>22.0</v>
      </c>
      <c r="H842" s="9">
        <v>33.0</v>
      </c>
      <c r="I842" s="4">
        <v>44973.0</v>
      </c>
      <c r="J842" s="5" t="s">
        <v>1679</v>
      </c>
      <c r="K842" s="10" t="s">
        <v>1680</v>
      </c>
    </row>
    <row r="843">
      <c r="A843" s="7">
        <v>842.0</v>
      </c>
      <c r="B843" s="8">
        <v>11.0</v>
      </c>
      <c r="C843" s="8">
        <v>23.0</v>
      </c>
      <c r="D843" s="8">
        <v>26.0</v>
      </c>
      <c r="E843" s="8">
        <v>29.0</v>
      </c>
      <c r="F843" s="8">
        <v>43.0</v>
      </c>
      <c r="G843" s="8">
        <v>50.0</v>
      </c>
      <c r="H843" s="9">
        <v>5.0</v>
      </c>
      <c r="I843" s="4">
        <v>44975.0</v>
      </c>
      <c r="J843" s="5" t="s">
        <v>1681</v>
      </c>
      <c r="K843" s="11" t="s">
        <v>1682</v>
      </c>
    </row>
    <row r="844">
      <c r="A844" s="7">
        <v>843.0</v>
      </c>
      <c r="B844" s="8">
        <v>4.0</v>
      </c>
      <c r="C844" s="8">
        <v>12.0</v>
      </c>
      <c r="D844" s="8">
        <v>15.0</v>
      </c>
      <c r="E844" s="8">
        <v>21.0</v>
      </c>
      <c r="F844" s="8">
        <v>30.0</v>
      </c>
      <c r="G844" s="8">
        <v>44.0</v>
      </c>
      <c r="H844" s="9">
        <v>5.0</v>
      </c>
      <c r="I844" s="4">
        <v>44978.0</v>
      </c>
      <c r="J844" s="5" t="s">
        <v>1683</v>
      </c>
      <c r="K844" s="10" t="s">
        <v>1684</v>
      </c>
    </row>
    <row r="845">
      <c r="A845" s="7">
        <v>844.0</v>
      </c>
      <c r="B845" s="8">
        <v>12.0</v>
      </c>
      <c r="C845" s="8">
        <v>16.0</v>
      </c>
      <c r="D845" s="8">
        <v>29.0</v>
      </c>
      <c r="E845" s="8">
        <v>31.0</v>
      </c>
      <c r="F845" s="8">
        <v>39.0</v>
      </c>
      <c r="G845" s="8">
        <v>48.0</v>
      </c>
      <c r="H845" s="9">
        <v>40.0</v>
      </c>
      <c r="I845" s="4">
        <v>44980.0</v>
      </c>
      <c r="J845" s="5" t="s">
        <v>1685</v>
      </c>
      <c r="K845" s="11" t="s">
        <v>1686</v>
      </c>
    </row>
    <row r="846">
      <c r="A846" s="7">
        <v>845.0</v>
      </c>
      <c r="B846" s="8">
        <v>1.0</v>
      </c>
      <c r="C846" s="8">
        <v>2.0</v>
      </c>
      <c r="D846" s="8">
        <v>14.0</v>
      </c>
      <c r="E846" s="8">
        <v>21.0</v>
      </c>
      <c r="F846" s="8">
        <v>38.0</v>
      </c>
      <c r="G846" s="8">
        <v>51.0</v>
      </c>
      <c r="H846" s="9">
        <v>50.0</v>
      </c>
      <c r="I846" s="4">
        <v>44982.0</v>
      </c>
      <c r="J846" s="5" t="s">
        <v>1687</v>
      </c>
      <c r="K846" s="10" t="s">
        <v>1688</v>
      </c>
    </row>
    <row r="847">
      <c r="A847" s="7">
        <v>846.0</v>
      </c>
      <c r="B847" s="8">
        <v>2.0</v>
      </c>
      <c r="C847" s="8">
        <v>13.0</v>
      </c>
      <c r="D847" s="8">
        <v>14.0</v>
      </c>
      <c r="E847" s="8">
        <v>30.0</v>
      </c>
      <c r="F847" s="8">
        <v>43.0</v>
      </c>
      <c r="G847" s="8">
        <v>55.0</v>
      </c>
      <c r="H847" s="9">
        <v>22.0</v>
      </c>
      <c r="I847" s="4">
        <v>44985.0</v>
      </c>
      <c r="J847" s="5" t="s">
        <v>1689</v>
      </c>
      <c r="K847" s="13" t="s">
        <v>1690</v>
      </c>
    </row>
    <row r="848">
      <c r="A848" s="7">
        <v>847.0</v>
      </c>
      <c r="B848" s="8">
        <v>1.0</v>
      </c>
      <c r="C848" s="8">
        <v>3.0</v>
      </c>
      <c r="D848" s="8">
        <v>23.0</v>
      </c>
      <c r="E848" s="8">
        <v>24.0</v>
      </c>
      <c r="F848" s="8">
        <v>43.0</v>
      </c>
      <c r="G848" s="8">
        <v>48.0</v>
      </c>
      <c r="H848" s="9">
        <v>31.0</v>
      </c>
      <c r="I848" s="4">
        <v>44987.0</v>
      </c>
      <c r="J848" s="5" t="s">
        <v>1691</v>
      </c>
      <c r="K848" s="10" t="s">
        <v>1692</v>
      </c>
    </row>
    <row r="849">
      <c r="A849" s="7">
        <v>848.0</v>
      </c>
      <c r="B849" s="8">
        <v>9.0</v>
      </c>
      <c r="C849" s="8">
        <v>13.0</v>
      </c>
      <c r="D849" s="8">
        <v>23.0</v>
      </c>
      <c r="E849" s="8">
        <v>36.0</v>
      </c>
      <c r="F849" s="8">
        <v>38.0</v>
      </c>
      <c r="G849" s="8">
        <v>54.0</v>
      </c>
      <c r="H849" s="9">
        <v>21.0</v>
      </c>
      <c r="I849" s="4">
        <v>44989.0</v>
      </c>
      <c r="J849" s="5" t="s">
        <v>1693</v>
      </c>
      <c r="K849" s="11" t="s">
        <v>1694</v>
      </c>
    </row>
    <row r="850">
      <c r="A850" s="7">
        <v>849.0</v>
      </c>
      <c r="B850" s="8">
        <v>8.0</v>
      </c>
      <c r="C850" s="8">
        <v>22.0</v>
      </c>
      <c r="D850" s="8">
        <v>25.0</v>
      </c>
      <c r="E850" s="8">
        <v>27.0</v>
      </c>
      <c r="F850" s="8">
        <v>39.0</v>
      </c>
      <c r="G850" s="8">
        <v>50.0</v>
      </c>
      <c r="H850" s="9">
        <v>28.0</v>
      </c>
      <c r="I850" s="4">
        <v>44992.0</v>
      </c>
      <c r="J850" s="5" t="s">
        <v>1695</v>
      </c>
      <c r="K850" s="10" t="s">
        <v>1696</v>
      </c>
    </row>
    <row r="851">
      <c r="A851" s="7">
        <v>850.0</v>
      </c>
      <c r="B851" s="8">
        <v>12.0</v>
      </c>
      <c r="C851" s="8">
        <v>22.0</v>
      </c>
      <c r="D851" s="8">
        <v>28.0</v>
      </c>
      <c r="E851" s="8">
        <v>34.0</v>
      </c>
      <c r="F851" s="8">
        <v>53.0</v>
      </c>
      <c r="G851" s="8">
        <v>54.0</v>
      </c>
      <c r="H851" s="9">
        <v>40.0</v>
      </c>
      <c r="I851" s="4">
        <v>44994.0</v>
      </c>
      <c r="J851" s="5" t="s">
        <v>1697</v>
      </c>
      <c r="K851" s="11" t="s">
        <v>1698</v>
      </c>
    </row>
    <row r="852">
      <c r="A852" s="7">
        <v>851.0</v>
      </c>
      <c r="B852" s="8">
        <v>13.0</v>
      </c>
      <c r="C852" s="8">
        <v>23.0</v>
      </c>
      <c r="D852" s="8">
        <v>25.0</v>
      </c>
      <c r="E852" s="8">
        <v>30.0</v>
      </c>
      <c r="F852" s="8">
        <v>35.0</v>
      </c>
      <c r="G852" s="8">
        <v>44.0</v>
      </c>
      <c r="H852" s="9">
        <v>8.0</v>
      </c>
      <c r="I852" s="4">
        <v>44996.0</v>
      </c>
      <c r="J852" s="5" t="s">
        <v>1699</v>
      </c>
      <c r="K852" s="10" t="s">
        <v>1700</v>
      </c>
    </row>
    <row r="853">
      <c r="A853" s="7">
        <v>852.0</v>
      </c>
      <c r="B853" s="8">
        <v>14.0</v>
      </c>
      <c r="C853" s="8">
        <v>15.0</v>
      </c>
      <c r="D853" s="8">
        <v>18.0</v>
      </c>
      <c r="E853" s="8">
        <v>20.0</v>
      </c>
      <c r="F853" s="8">
        <v>27.0</v>
      </c>
      <c r="G853" s="8">
        <v>35.0</v>
      </c>
      <c r="H853" s="9">
        <v>31.0</v>
      </c>
      <c r="I853" s="4">
        <v>44999.0</v>
      </c>
      <c r="J853" s="5" t="s">
        <v>1701</v>
      </c>
      <c r="K853" s="11" t="s">
        <v>1702</v>
      </c>
    </row>
    <row r="854">
      <c r="A854" s="7">
        <v>853.0</v>
      </c>
      <c r="B854" s="8">
        <v>6.0</v>
      </c>
      <c r="C854" s="8">
        <v>23.0</v>
      </c>
      <c r="D854" s="8">
        <v>34.0</v>
      </c>
      <c r="E854" s="8">
        <v>48.0</v>
      </c>
      <c r="F854" s="8">
        <v>50.0</v>
      </c>
      <c r="G854" s="8">
        <v>55.0</v>
      </c>
      <c r="H854" s="9">
        <v>2.0</v>
      </c>
      <c r="I854" s="4">
        <v>45001.0</v>
      </c>
      <c r="J854" s="5" t="s">
        <v>1703</v>
      </c>
      <c r="K854" s="12" t="s">
        <v>1704</v>
      </c>
    </row>
    <row r="855">
      <c r="A855" s="7">
        <v>854.0</v>
      </c>
      <c r="B855" s="8">
        <v>18.0</v>
      </c>
      <c r="C855" s="8">
        <v>24.0</v>
      </c>
      <c r="D855" s="8">
        <v>32.0</v>
      </c>
      <c r="E855" s="8">
        <v>33.0</v>
      </c>
      <c r="F855" s="8">
        <v>51.0</v>
      </c>
      <c r="G855" s="8">
        <v>53.0</v>
      </c>
      <c r="H855" s="9">
        <v>36.0</v>
      </c>
      <c r="I855" s="4">
        <v>45003.0</v>
      </c>
      <c r="J855" s="5" t="s">
        <v>1705</v>
      </c>
      <c r="K855" s="13" t="s">
        <v>1706</v>
      </c>
    </row>
    <row r="856">
      <c r="A856" s="7">
        <v>855.0</v>
      </c>
      <c r="B856" s="8">
        <v>7.0</v>
      </c>
      <c r="C856" s="8">
        <v>17.0</v>
      </c>
      <c r="D856" s="8">
        <v>31.0</v>
      </c>
      <c r="E856" s="8">
        <v>43.0</v>
      </c>
      <c r="F856" s="8">
        <v>45.0</v>
      </c>
      <c r="G856" s="8">
        <v>49.0</v>
      </c>
      <c r="H856" s="9">
        <v>52.0</v>
      </c>
      <c r="I856" s="4">
        <v>45006.0</v>
      </c>
      <c r="J856" s="5" t="s">
        <v>1707</v>
      </c>
      <c r="K856" s="10" t="s">
        <v>1708</v>
      </c>
    </row>
    <row r="857">
      <c r="A857" s="7">
        <v>856.0</v>
      </c>
      <c r="B857" s="8">
        <v>4.0</v>
      </c>
      <c r="C857" s="8">
        <v>7.0</v>
      </c>
      <c r="D857" s="8">
        <v>22.0</v>
      </c>
      <c r="E857" s="8">
        <v>33.0</v>
      </c>
      <c r="F857" s="8">
        <v>40.0</v>
      </c>
      <c r="G857" s="8">
        <v>49.0</v>
      </c>
      <c r="H857" s="9">
        <v>39.0</v>
      </c>
      <c r="I857" s="4">
        <v>45008.0</v>
      </c>
      <c r="J857" s="5" t="s">
        <v>1709</v>
      </c>
      <c r="K857" s="11" t="s">
        <v>1710</v>
      </c>
    </row>
    <row r="858">
      <c r="A858" s="7">
        <v>857.0</v>
      </c>
      <c r="B858" s="8">
        <v>17.0</v>
      </c>
      <c r="C858" s="8">
        <v>18.0</v>
      </c>
      <c r="D858" s="8">
        <v>28.0</v>
      </c>
      <c r="E858" s="8">
        <v>40.0</v>
      </c>
      <c r="F858" s="8">
        <v>49.0</v>
      </c>
      <c r="G858" s="8">
        <v>54.0</v>
      </c>
      <c r="H858" s="9">
        <v>16.0</v>
      </c>
      <c r="I858" s="4">
        <v>45010.0</v>
      </c>
      <c r="J858" s="5" t="s">
        <v>1711</v>
      </c>
      <c r="K858" s="10" t="s">
        <v>1712</v>
      </c>
    </row>
    <row r="859">
      <c r="A859" s="7">
        <v>858.0</v>
      </c>
      <c r="B859" s="8">
        <v>6.0</v>
      </c>
      <c r="C859" s="8">
        <v>21.0</v>
      </c>
      <c r="D859" s="8">
        <v>24.0</v>
      </c>
      <c r="E859" s="8">
        <v>41.0</v>
      </c>
      <c r="F859" s="8">
        <v>50.0</v>
      </c>
      <c r="G859" s="8">
        <v>53.0</v>
      </c>
      <c r="H859" s="9">
        <v>13.0</v>
      </c>
      <c r="I859" s="4">
        <v>45013.0</v>
      </c>
      <c r="J859" s="5" t="s">
        <v>1713</v>
      </c>
      <c r="K859" s="11" t="s">
        <v>1714</v>
      </c>
    </row>
    <row r="860">
      <c r="A860" s="7">
        <v>859.0</v>
      </c>
      <c r="B860" s="8">
        <v>6.0</v>
      </c>
      <c r="C860" s="8">
        <v>11.0</v>
      </c>
      <c r="D860" s="8">
        <v>14.0</v>
      </c>
      <c r="E860" s="8">
        <v>21.0</v>
      </c>
      <c r="F860" s="8">
        <v>30.0</v>
      </c>
      <c r="G860" s="8">
        <v>32.0</v>
      </c>
      <c r="H860" s="9">
        <v>22.0</v>
      </c>
      <c r="I860" s="4">
        <v>45015.0</v>
      </c>
      <c r="J860" s="5" t="s">
        <v>1715</v>
      </c>
      <c r="K860" s="10" t="s">
        <v>1716</v>
      </c>
    </row>
    <row r="861">
      <c r="A861" s="7">
        <v>860.0</v>
      </c>
      <c r="B861" s="8">
        <v>12.0</v>
      </c>
      <c r="C861" s="8">
        <v>34.0</v>
      </c>
      <c r="D861" s="8">
        <v>39.0</v>
      </c>
      <c r="E861" s="8">
        <v>44.0</v>
      </c>
      <c r="F861" s="8">
        <v>49.0</v>
      </c>
      <c r="G861" s="8">
        <v>55.0</v>
      </c>
      <c r="H861" s="9">
        <v>14.0</v>
      </c>
      <c r="I861" s="4">
        <v>45017.0</v>
      </c>
      <c r="J861" s="5" t="s">
        <v>1717</v>
      </c>
      <c r="K861" s="11" t="s">
        <v>1718</v>
      </c>
    </row>
    <row r="862">
      <c r="A862" s="7">
        <v>861.0</v>
      </c>
      <c r="B862" s="8">
        <v>13.0</v>
      </c>
      <c r="C862" s="8">
        <v>28.0</v>
      </c>
      <c r="D862" s="8">
        <v>41.0</v>
      </c>
      <c r="E862" s="8">
        <v>42.0</v>
      </c>
      <c r="F862" s="8">
        <v>47.0</v>
      </c>
      <c r="G862" s="8">
        <v>51.0</v>
      </c>
      <c r="H862" s="9">
        <v>9.0</v>
      </c>
      <c r="I862" s="4">
        <v>45020.0</v>
      </c>
      <c r="J862" s="5" t="s">
        <v>1719</v>
      </c>
      <c r="K862" s="10" t="s">
        <v>1720</v>
      </c>
    </row>
    <row r="863">
      <c r="A863" s="7">
        <v>862.0</v>
      </c>
      <c r="B863" s="8">
        <v>7.0</v>
      </c>
      <c r="C863" s="8">
        <v>10.0</v>
      </c>
      <c r="D863" s="8">
        <v>12.0</v>
      </c>
      <c r="E863" s="8">
        <v>33.0</v>
      </c>
      <c r="F863" s="8">
        <v>52.0</v>
      </c>
      <c r="G863" s="8">
        <v>54.0</v>
      </c>
      <c r="H863" s="9">
        <v>16.0</v>
      </c>
      <c r="I863" s="4">
        <v>45022.0</v>
      </c>
      <c r="J863" s="5" t="s">
        <v>1721</v>
      </c>
      <c r="K863" s="11" t="s">
        <v>1722</v>
      </c>
    </row>
    <row r="864">
      <c r="A864" s="7">
        <v>863.0</v>
      </c>
      <c r="B864" s="8">
        <v>17.0</v>
      </c>
      <c r="C864" s="8">
        <v>33.0</v>
      </c>
      <c r="D864" s="8">
        <v>36.0</v>
      </c>
      <c r="E864" s="8">
        <v>46.0</v>
      </c>
      <c r="F864" s="8">
        <v>50.0</v>
      </c>
      <c r="G864" s="8">
        <v>52.0</v>
      </c>
      <c r="H864" s="9">
        <v>40.0</v>
      </c>
      <c r="I864" s="4">
        <v>45024.0</v>
      </c>
      <c r="J864" s="5" t="s">
        <v>1723</v>
      </c>
      <c r="K864" s="10" t="s">
        <v>1724</v>
      </c>
    </row>
    <row r="865">
      <c r="A865" s="7">
        <v>864.0</v>
      </c>
      <c r="B865" s="8">
        <v>10.0</v>
      </c>
      <c r="C865" s="8">
        <v>14.0</v>
      </c>
      <c r="D865" s="8">
        <v>16.0</v>
      </c>
      <c r="E865" s="8">
        <v>18.0</v>
      </c>
      <c r="F865" s="8">
        <v>37.0</v>
      </c>
      <c r="G865" s="8">
        <v>49.0</v>
      </c>
      <c r="H865" s="9">
        <v>54.0</v>
      </c>
      <c r="I865" s="4">
        <v>45027.0</v>
      </c>
      <c r="J865" s="5" t="s">
        <v>1725</v>
      </c>
      <c r="K865" s="11" t="s">
        <v>1726</v>
      </c>
    </row>
    <row r="866">
      <c r="A866" s="7">
        <v>865.0</v>
      </c>
      <c r="B866" s="8">
        <v>22.0</v>
      </c>
      <c r="C866" s="8">
        <v>26.0</v>
      </c>
      <c r="D866" s="8">
        <v>28.0</v>
      </c>
      <c r="E866" s="8">
        <v>37.0</v>
      </c>
      <c r="F866" s="8">
        <v>39.0</v>
      </c>
      <c r="G866" s="8">
        <v>48.0</v>
      </c>
      <c r="H866" s="9">
        <v>15.0</v>
      </c>
      <c r="I866" s="4">
        <v>45029.0</v>
      </c>
      <c r="J866" s="5" t="s">
        <v>1727</v>
      </c>
      <c r="K866" s="12" t="s">
        <v>1728</v>
      </c>
    </row>
    <row r="867">
      <c r="A867" s="7">
        <v>866.0</v>
      </c>
      <c r="B867" s="8">
        <v>1.0</v>
      </c>
      <c r="C867" s="8">
        <v>34.0</v>
      </c>
      <c r="D867" s="8">
        <v>35.0</v>
      </c>
      <c r="E867" s="8">
        <v>36.0</v>
      </c>
      <c r="F867" s="8">
        <v>42.0</v>
      </c>
      <c r="G867" s="8">
        <v>43.0</v>
      </c>
      <c r="H867" s="9">
        <v>5.0</v>
      </c>
      <c r="I867" s="4">
        <v>45031.0</v>
      </c>
      <c r="J867" s="5" t="s">
        <v>1729</v>
      </c>
      <c r="K867" s="11" t="s">
        <v>1730</v>
      </c>
    </row>
    <row r="868">
      <c r="A868" s="7">
        <v>867.0</v>
      </c>
      <c r="B868" s="8">
        <v>17.0</v>
      </c>
      <c r="C868" s="8">
        <v>18.0</v>
      </c>
      <c r="D868" s="8">
        <v>30.0</v>
      </c>
      <c r="E868" s="8">
        <v>40.0</v>
      </c>
      <c r="F868" s="8">
        <v>51.0</v>
      </c>
      <c r="G868" s="8">
        <v>55.0</v>
      </c>
      <c r="H868" s="9">
        <v>50.0</v>
      </c>
      <c r="I868" s="4">
        <v>45034.0</v>
      </c>
      <c r="J868" s="5" t="s">
        <v>1731</v>
      </c>
      <c r="K868" s="12" t="s">
        <v>1732</v>
      </c>
    </row>
    <row r="869">
      <c r="A869" s="7">
        <v>868.0</v>
      </c>
      <c r="B869" s="8">
        <v>7.0</v>
      </c>
      <c r="C869" s="8">
        <v>11.0</v>
      </c>
      <c r="D869" s="8">
        <v>32.0</v>
      </c>
      <c r="E869" s="8">
        <v>35.0</v>
      </c>
      <c r="F869" s="8">
        <v>42.0</v>
      </c>
      <c r="G869" s="8">
        <v>51.0</v>
      </c>
      <c r="H869" s="9">
        <v>46.0</v>
      </c>
      <c r="I869" s="4">
        <v>45036.0</v>
      </c>
      <c r="J869" s="5" t="s">
        <v>1733</v>
      </c>
      <c r="K869" s="11" t="s">
        <v>1734</v>
      </c>
    </row>
    <row r="870">
      <c r="A870" s="7">
        <v>869.0</v>
      </c>
      <c r="B870" s="8">
        <v>9.0</v>
      </c>
      <c r="C870" s="8">
        <v>18.0</v>
      </c>
      <c r="D870" s="8">
        <v>23.0</v>
      </c>
      <c r="E870" s="8">
        <v>24.0</v>
      </c>
      <c r="F870" s="8">
        <v>48.0</v>
      </c>
      <c r="G870" s="8">
        <v>52.0</v>
      </c>
      <c r="H870" s="9">
        <v>10.0</v>
      </c>
      <c r="I870" s="4">
        <v>45038.0</v>
      </c>
      <c r="J870" s="5" t="s">
        <v>1735</v>
      </c>
      <c r="K870" s="12" t="s">
        <v>1736</v>
      </c>
    </row>
    <row r="871">
      <c r="A871" s="7">
        <v>870.0</v>
      </c>
      <c r="B871" s="8">
        <v>6.0</v>
      </c>
      <c r="C871" s="8">
        <v>10.0</v>
      </c>
      <c r="D871" s="8">
        <v>19.0</v>
      </c>
      <c r="E871" s="8">
        <v>23.0</v>
      </c>
      <c r="F871" s="8">
        <v>25.0</v>
      </c>
      <c r="G871" s="8">
        <v>28.0</v>
      </c>
      <c r="H871" s="9">
        <v>45.0</v>
      </c>
      <c r="I871" s="4">
        <v>45041.0</v>
      </c>
      <c r="J871" s="5" t="s">
        <v>1737</v>
      </c>
      <c r="K871" s="11" t="s">
        <v>1738</v>
      </c>
    </row>
    <row r="872">
      <c r="A872" s="7">
        <v>871.0</v>
      </c>
      <c r="B872" s="8">
        <v>8.0</v>
      </c>
      <c r="C872" s="8">
        <v>28.0</v>
      </c>
      <c r="D872" s="8">
        <v>38.0</v>
      </c>
      <c r="E872" s="8">
        <v>39.0</v>
      </c>
      <c r="F872" s="8">
        <v>41.0</v>
      </c>
      <c r="G872" s="8">
        <v>45.0</v>
      </c>
      <c r="H872" s="9">
        <v>54.0</v>
      </c>
      <c r="I872" s="4">
        <v>45043.0</v>
      </c>
      <c r="J872" s="5" t="s">
        <v>1739</v>
      </c>
      <c r="K872" s="12" t="s">
        <v>1740</v>
      </c>
    </row>
    <row r="873">
      <c r="A873" s="7">
        <v>872.0</v>
      </c>
      <c r="B873" s="8">
        <v>2.0</v>
      </c>
      <c r="C873" s="8">
        <v>9.0</v>
      </c>
      <c r="D873" s="8">
        <v>12.0</v>
      </c>
      <c r="E873" s="8">
        <v>24.0</v>
      </c>
      <c r="F873" s="8">
        <v>41.0</v>
      </c>
      <c r="G873" s="8">
        <v>53.0</v>
      </c>
      <c r="H873" s="9">
        <v>35.0</v>
      </c>
      <c r="I873" s="4">
        <v>45045.0</v>
      </c>
      <c r="J873" s="5" t="s">
        <v>1741</v>
      </c>
      <c r="K873" s="13" t="s">
        <v>1742</v>
      </c>
    </row>
    <row r="874">
      <c r="A874" s="7">
        <v>873.0</v>
      </c>
      <c r="B874" s="8">
        <v>4.0</v>
      </c>
      <c r="C874" s="8">
        <v>11.0</v>
      </c>
      <c r="D874" s="8">
        <v>18.0</v>
      </c>
      <c r="E874" s="8">
        <v>25.0</v>
      </c>
      <c r="F874" s="8">
        <v>33.0</v>
      </c>
      <c r="G874" s="8">
        <v>45.0</v>
      </c>
      <c r="H874" s="9">
        <v>21.0</v>
      </c>
      <c r="I874" s="4">
        <v>45048.0</v>
      </c>
      <c r="J874" s="5" t="s">
        <v>1743</v>
      </c>
      <c r="K874" s="10" t="s">
        <v>1744</v>
      </c>
    </row>
    <row r="875">
      <c r="A875" s="7">
        <v>874.0</v>
      </c>
      <c r="B875" s="8">
        <v>13.0</v>
      </c>
      <c r="C875" s="8">
        <v>30.0</v>
      </c>
      <c r="D875" s="8">
        <v>32.0</v>
      </c>
      <c r="E875" s="8">
        <v>35.0</v>
      </c>
      <c r="F875" s="8">
        <v>45.0</v>
      </c>
      <c r="G875" s="8">
        <v>52.0</v>
      </c>
      <c r="H875" s="9">
        <v>29.0</v>
      </c>
      <c r="I875" s="4">
        <v>45050.0</v>
      </c>
      <c r="J875" s="5" t="s">
        <v>1745</v>
      </c>
      <c r="K875" s="13" t="s">
        <v>1746</v>
      </c>
    </row>
    <row r="876">
      <c r="A876" s="7">
        <v>875.0</v>
      </c>
      <c r="B876" s="8">
        <v>1.0</v>
      </c>
      <c r="C876" s="8">
        <v>11.0</v>
      </c>
      <c r="D876" s="8">
        <v>22.0</v>
      </c>
      <c r="E876" s="8">
        <v>28.0</v>
      </c>
      <c r="F876" s="8">
        <v>34.0</v>
      </c>
      <c r="G876" s="8">
        <v>42.0</v>
      </c>
      <c r="H876" s="9">
        <v>10.0</v>
      </c>
      <c r="I876" s="4">
        <v>45052.0</v>
      </c>
      <c r="J876" s="5" t="s">
        <v>1747</v>
      </c>
      <c r="K876" s="10" t="s">
        <v>1748</v>
      </c>
    </row>
    <row r="877">
      <c r="A877" s="7">
        <v>876.0</v>
      </c>
      <c r="B877" s="8">
        <v>7.0</v>
      </c>
      <c r="C877" s="8">
        <v>9.0</v>
      </c>
      <c r="D877" s="8">
        <v>13.0</v>
      </c>
      <c r="E877" s="8">
        <v>22.0</v>
      </c>
      <c r="F877" s="8">
        <v>44.0</v>
      </c>
      <c r="G877" s="8">
        <v>47.0</v>
      </c>
      <c r="H877" s="9">
        <v>39.0</v>
      </c>
      <c r="I877" s="4">
        <v>45055.0</v>
      </c>
      <c r="J877" s="5" t="s">
        <v>1749</v>
      </c>
      <c r="K877" s="11" t="s">
        <v>1750</v>
      </c>
    </row>
    <row r="878">
      <c r="A878" s="7">
        <v>877.0</v>
      </c>
      <c r="B878" s="8">
        <v>1.0</v>
      </c>
      <c r="C878" s="8">
        <v>3.0</v>
      </c>
      <c r="D878" s="8">
        <v>19.0</v>
      </c>
      <c r="E878" s="8">
        <v>33.0</v>
      </c>
      <c r="F878" s="8">
        <v>34.0</v>
      </c>
      <c r="G878" s="8">
        <v>51.0</v>
      </c>
      <c r="H878" s="9">
        <v>17.0</v>
      </c>
      <c r="I878" s="4">
        <v>45057.0</v>
      </c>
      <c r="J878" s="5" t="s">
        <v>1751</v>
      </c>
      <c r="K878" s="10" t="s">
        <v>1752</v>
      </c>
    </row>
    <row r="879">
      <c r="A879" s="7">
        <v>878.0</v>
      </c>
      <c r="B879" s="8">
        <v>22.0</v>
      </c>
      <c r="C879" s="8">
        <v>24.0</v>
      </c>
      <c r="D879" s="8">
        <v>35.0</v>
      </c>
      <c r="E879" s="8">
        <v>43.0</v>
      </c>
      <c r="F879" s="8">
        <v>45.0</v>
      </c>
      <c r="G879" s="8">
        <v>54.0</v>
      </c>
      <c r="H879" s="9">
        <v>50.0</v>
      </c>
      <c r="I879" s="4">
        <v>45059.0</v>
      </c>
      <c r="J879" s="5" t="s">
        <v>1753</v>
      </c>
      <c r="K879" s="11" t="s">
        <v>1754</v>
      </c>
    </row>
    <row r="880">
      <c r="A880" s="7">
        <v>879.0</v>
      </c>
      <c r="B880" s="8">
        <v>19.0</v>
      </c>
      <c r="C880" s="8">
        <v>24.0</v>
      </c>
      <c r="D880" s="8">
        <v>30.0</v>
      </c>
      <c r="E880" s="8">
        <v>34.0</v>
      </c>
      <c r="F880" s="8">
        <v>40.0</v>
      </c>
      <c r="G880" s="8">
        <v>44.0</v>
      </c>
      <c r="H880" s="9">
        <v>51.0</v>
      </c>
      <c r="I880" s="4">
        <v>45062.0</v>
      </c>
      <c r="J880" s="5" t="s">
        <v>1755</v>
      </c>
      <c r="K880" s="10" t="s">
        <v>1756</v>
      </c>
    </row>
    <row r="881">
      <c r="A881" s="7">
        <v>880.0</v>
      </c>
      <c r="B881" s="8">
        <v>13.0</v>
      </c>
      <c r="C881" s="8">
        <v>14.0</v>
      </c>
      <c r="D881" s="8">
        <v>21.0</v>
      </c>
      <c r="E881" s="8">
        <v>23.0</v>
      </c>
      <c r="F881" s="8">
        <v>30.0</v>
      </c>
      <c r="G881" s="8">
        <v>41.0</v>
      </c>
      <c r="H881" s="9">
        <v>49.0</v>
      </c>
      <c r="I881" s="4">
        <v>45064.0</v>
      </c>
      <c r="J881" s="5" t="s">
        <v>1757</v>
      </c>
      <c r="K881" s="11" t="s">
        <v>1758</v>
      </c>
    </row>
    <row r="882">
      <c r="A882" s="7">
        <v>881.0</v>
      </c>
      <c r="B882" s="8">
        <v>1.0</v>
      </c>
      <c r="C882" s="8">
        <v>14.0</v>
      </c>
      <c r="D882" s="8">
        <v>21.0</v>
      </c>
      <c r="E882" s="8">
        <v>36.0</v>
      </c>
      <c r="F882" s="8">
        <v>48.0</v>
      </c>
      <c r="G882" s="8">
        <v>53.0</v>
      </c>
      <c r="H882" s="9">
        <v>44.0</v>
      </c>
      <c r="I882" s="4">
        <v>45066.0</v>
      </c>
      <c r="J882" s="5" t="s">
        <v>1759</v>
      </c>
      <c r="K882" s="12" t="s">
        <v>1760</v>
      </c>
    </row>
    <row r="883">
      <c r="A883" s="7">
        <v>882.0</v>
      </c>
      <c r="B883" s="8">
        <v>26.0</v>
      </c>
      <c r="C883" s="8">
        <v>27.0</v>
      </c>
      <c r="D883" s="8">
        <v>35.0</v>
      </c>
      <c r="E883" s="8">
        <v>36.0</v>
      </c>
      <c r="F883" s="8">
        <v>47.0</v>
      </c>
      <c r="G883" s="8">
        <v>54.0</v>
      </c>
      <c r="H883" s="9">
        <v>40.0</v>
      </c>
      <c r="I883" s="4">
        <v>45069.0</v>
      </c>
      <c r="J883" s="5" t="s">
        <v>1761</v>
      </c>
      <c r="K883" s="11" t="s">
        <v>1762</v>
      </c>
    </row>
    <row r="884">
      <c r="A884" s="7">
        <v>883.0</v>
      </c>
      <c r="B884" s="8">
        <v>15.0</v>
      </c>
      <c r="C884" s="8">
        <v>16.0</v>
      </c>
      <c r="D884" s="8">
        <v>19.0</v>
      </c>
      <c r="E884" s="8">
        <v>31.0</v>
      </c>
      <c r="F884" s="8">
        <v>33.0</v>
      </c>
      <c r="G884" s="8">
        <v>46.0</v>
      </c>
      <c r="H884" s="9">
        <v>7.0</v>
      </c>
      <c r="I884" s="4">
        <v>45071.0</v>
      </c>
      <c r="J884" s="5" t="s">
        <v>1763</v>
      </c>
      <c r="K884" s="10" t="s">
        <v>1764</v>
      </c>
    </row>
    <row r="885">
      <c r="A885" s="7">
        <v>884.0</v>
      </c>
      <c r="B885" s="8">
        <v>4.0</v>
      </c>
      <c r="C885" s="8">
        <v>6.0</v>
      </c>
      <c r="D885" s="8">
        <v>8.0</v>
      </c>
      <c r="E885" s="8">
        <v>18.0</v>
      </c>
      <c r="F885" s="8">
        <v>39.0</v>
      </c>
      <c r="G885" s="8">
        <v>43.0</v>
      </c>
      <c r="H885" s="9">
        <v>28.0</v>
      </c>
      <c r="I885" s="4">
        <v>45073.0</v>
      </c>
      <c r="J885" s="5" t="s">
        <v>1765</v>
      </c>
      <c r="K885" s="11" t="s">
        <v>1766</v>
      </c>
    </row>
    <row r="886">
      <c r="A886" s="7">
        <v>885.0</v>
      </c>
      <c r="B886" s="8">
        <v>1.0</v>
      </c>
      <c r="C886" s="8">
        <v>14.0</v>
      </c>
      <c r="D886" s="8">
        <v>24.0</v>
      </c>
      <c r="E886" s="8">
        <v>28.0</v>
      </c>
      <c r="F886" s="8">
        <v>40.0</v>
      </c>
      <c r="G886" s="8">
        <v>46.0</v>
      </c>
      <c r="H886" s="9">
        <v>34.0</v>
      </c>
      <c r="I886" s="4">
        <v>45076.0</v>
      </c>
      <c r="J886" s="5" t="s">
        <v>1767</v>
      </c>
      <c r="K886" s="10" t="s">
        <v>1768</v>
      </c>
    </row>
    <row r="887">
      <c r="A887" s="7">
        <v>886.0</v>
      </c>
      <c r="B887" s="8">
        <v>3.0</v>
      </c>
      <c r="C887" s="8">
        <v>18.0</v>
      </c>
      <c r="D887" s="8">
        <v>40.0</v>
      </c>
      <c r="E887" s="8">
        <v>41.0</v>
      </c>
      <c r="F887" s="8">
        <v>46.0</v>
      </c>
      <c r="G887" s="8">
        <v>47.0</v>
      </c>
      <c r="H887" s="9">
        <v>36.0</v>
      </c>
      <c r="I887" s="4">
        <v>45078.0</v>
      </c>
      <c r="J887" s="5" t="s">
        <v>1769</v>
      </c>
      <c r="K887" s="11" t="s">
        <v>1770</v>
      </c>
    </row>
    <row r="888">
      <c r="A888" s="7">
        <v>887.0</v>
      </c>
      <c r="B888" s="8">
        <v>23.0</v>
      </c>
      <c r="C888" s="8">
        <v>28.0</v>
      </c>
      <c r="D888" s="8">
        <v>29.0</v>
      </c>
      <c r="E888" s="8">
        <v>36.0</v>
      </c>
      <c r="F888" s="8">
        <v>38.0</v>
      </c>
      <c r="G888" s="8">
        <v>41.0</v>
      </c>
      <c r="H888" s="9">
        <v>7.0</v>
      </c>
      <c r="I888" s="4">
        <v>45080.0</v>
      </c>
      <c r="J888" s="5" t="s">
        <v>1771</v>
      </c>
      <c r="K888" s="10" t="s">
        <v>1772</v>
      </c>
    </row>
    <row r="889">
      <c r="A889" s="7">
        <v>888.0</v>
      </c>
      <c r="B889" s="8">
        <v>1.0</v>
      </c>
      <c r="C889" s="8">
        <v>14.0</v>
      </c>
      <c r="D889" s="8">
        <v>23.0</v>
      </c>
      <c r="E889" s="8">
        <v>27.0</v>
      </c>
      <c r="F889" s="8">
        <v>44.0</v>
      </c>
      <c r="G889" s="8">
        <v>50.0</v>
      </c>
      <c r="H889" s="9">
        <v>43.0</v>
      </c>
      <c r="I889" s="4">
        <v>45083.0</v>
      </c>
      <c r="J889" s="5" t="s">
        <v>1773</v>
      </c>
      <c r="K889" s="11" t="s">
        <v>1774</v>
      </c>
    </row>
    <row r="890">
      <c r="A890" s="7">
        <v>889.0</v>
      </c>
      <c r="B890" s="8">
        <v>3.0</v>
      </c>
      <c r="C890" s="8">
        <v>36.0</v>
      </c>
      <c r="D890" s="8">
        <v>38.0</v>
      </c>
      <c r="E890" s="8">
        <v>43.0</v>
      </c>
      <c r="F890" s="8">
        <v>51.0</v>
      </c>
      <c r="G890" s="8">
        <v>53.0</v>
      </c>
      <c r="H890" s="9">
        <v>2.0</v>
      </c>
      <c r="I890" s="4">
        <v>45085.0</v>
      </c>
      <c r="J890" s="5" t="s">
        <v>1775</v>
      </c>
      <c r="K890" s="10" t="s">
        <v>1776</v>
      </c>
    </row>
    <row r="891">
      <c r="A891" s="7">
        <v>890.0</v>
      </c>
      <c r="B891" s="8">
        <v>10.0</v>
      </c>
      <c r="C891" s="8">
        <v>17.0</v>
      </c>
      <c r="D891" s="8">
        <v>27.0</v>
      </c>
      <c r="E891" s="8">
        <v>32.0</v>
      </c>
      <c r="F891" s="8">
        <v>35.0</v>
      </c>
      <c r="G891" s="8">
        <v>41.0</v>
      </c>
      <c r="H891" s="9">
        <v>54.0</v>
      </c>
      <c r="I891" s="4">
        <v>45087.0</v>
      </c>
      <c r="J891" s="5" t="s">
        <v>1777</v>
      </c>
      <c r="K891" s="11" t="s">
        <v>1778</v>
      </c>
    </row>
    <row r="892">
      <c r="A892" s="7">
        <v>891.0</v>
      </c>
      <c r="B892" s="8">
        <v>4.0</v>
      </c>
      <c r="C892" s="8">
        <v>14.0</v>
      </c>
      <c r="D892" s="8">
        <v>18.0</v>
      </c>
      <c r="E892" s="8">
        <v>27.0</v>
      </c>
      <c r="F892" s="8">
        <v>47.0</v>
      </c>
      <c r="G892" s="8">
        <v>50.0</v>
      </c>
      <c r="H892" s="9">
        <v>33.0</v>
      </c>
      <c r="I892" s="4">
        <v>45090.0</v>
      </c>
      <c r="J892" s="5" t="s">
        <v>1779</v>
      </c>
      <c r="K892" s="10" t="s">
        <v>1780</v>
      </c>
    </row>
    <row r="893">
      <c r="A893" s="7">
        <v>892.0</v>
      </c>
      <c r="B893" s="8">
        <v>10.0</v>
      </c>
      <c r="C893" s="8">
        <v>11.0</v>
      </c>
      <c r="D893" s="8">
        <v>25.0</v>
      </c>
      <c r="E893" s="8">
        <v>39.0</v>
      </c>
      <c r="F893" s="8">
        <v>46.0</v>
      </c>
      <c r="G893" s="8">
        <v>55.0</v>
      </c>
      <c r="H893" s="9">
        <v>40.0</v>
      </c>
      <c r="I893" s="4">
        <v>45092.0</v>
      </c>
      <c r="J893" s="5" t="s">
        <v>1781</v>
      </c>
      <c r="K893" s="13" t="s">
        <v>1782</v>
      </c>
    </row>
    <row r="894">
      <c r="A894" s="7">
        <v>893.0</v>
      </c>
      <c r="B894" s="8">
        <v>7.0</v>
      </c>
      <c r="C894" s="8">
        <v>13.0</v>
      </c>
      <c r="D894" s="8">
        <v>23.0</v>
      </c>
      <c r="E894" s="8">
        <v>34.0</v>
      </c>
      <c r="F894" s="8">
        <v>38.0</v>
      </c>
      <c r="G894" s="8">
        <v>40.0</v>
      </c>
      <c r="H894" s="9">
        <v>55.0</v>
      </c>
      <c r="I894" s="4">
        <v>45094.0</v>
      </c>
      <c r="J894" s="5" t="s">
        <v>1783</v>
      </c>
      <c r="K894" s="12" t="s">
        <v>1784</v>
      </c>
    </row>
    <row r="895">
      <c r="A895" s="7">
        <v>894.0</v>
      </c>
      <c r="B895" s="8">
        <v>7.0</v>
      </c>
      <c r="C895" s="8">
        <v>23.0</v>
      </c>
      <c r="D895" s="8">
        <v>26.0</v>
      </c>
      <c r="E895" s="8">
        <v>31.0</v>
      </c>
      <c r="F895" s="8">
        <v>35.0</v>
      </c>
      <c r="G895" s="8">
        <v>53.0</v>
      </c>
      <c r="H895" s="9">
        <v>32.0</v>
      </c>
      <c r="I895" s="4">
        <v>45097.0</v>
      </c>
      <c r="J895" s="5" t="s">
        <v>1785</v>
      </c>
      <c r="K895" s="11" t="s">
        <v>1786</v>
      </c>
    </row>
    <row r="896">
      <c r="A896" s="7">
        <v>895.0</v>
      </c>
      <c r="B896" s="8">
        <v>2.0</v>
      </c>
      <c r="C896" s="8">
        <v>11.0</v>
      </c>
      <c r="D896" s="8">
        <v>14.0</v>
      </c>
      <c r="E896" s="8">
        <v>35.0</v>
      </c>
      <c r="F896" s="8">
        <v>43.0</v>
      </c>
      <c r="G896" s="8">
        <v>51.0</v>
      </c>
      <c r="H896" s="9">
        <v>55.0</v>
      </c>
      <c r="I896" s="4">
        <v>45099.0</v>
      </c>
      <c r="J896" s="5" t="s">
        <v>1787</v>
      </c>
      <c r="K896" s="10" t="s">
        <v>1788</v>
      </c>
    </row>
    <row r="897">
      <c r="A897" s="7">
        <v>896.0</v>
      </c>
      <c r="B897" s="8">
        <v>8.0</v>
      </c>
      <c r="C897" s="8">
        <v>9.0</v>
      </c>
      <c r="D897" s="8">
        <v>16.0</v>
      </c>
      <c r="E897" s="8">
        <v>20.0</v>
      </c>
      <c r="F897" s="8">
        <v>50.0</v>
      </c>
      <c r="G897" s="8">
        <v>53.0</v>
      </c>
      <c r="H897" s="9">
        <v>3.0</v>
      </c>
      <c r="I897" s="4">
        <v>45101.0</v>
      </c>
      <c r="J897" s="5" t="s">
        <v>1789</v>
      </c>
      <c r="K897" s="13" t="s">
        <v>1790</v>
      </c>
    </row>
    <row r="898">
      <c r="A898" s="7">
        <v>897.0</v>
      </c>
      <c r="B898" s="8">
        <v>2.0</v>
      </c>
      <c r="C898" s="8">
        <v>12.0</v>
      </c>
      <c r="D898" s="8">
        <v>15.0</v>
      </c>
      <c r="E898" s="8">
        <v>16.0</v>
      </c>
      <c r="F898" s="8">
        <v>27.0</v>
      </c>
      <c r="G898" s="8">
        <v>28.0</v>
      </c>
      <c r="H898" s="9">
        <v>47.0</v>
      </c>
      <c r="I898" s="4">
        <v>45104.0</v>
      </c>
      <c r="J898" s="5" t="s">
        <v>1791</v>
      </c>
      <c r="K898" s="10" t="s">
        <v>1792</v>
      </c>
    </row>
    <row r="899">
      <c r="A899" s="7">
        <v>898.0</v>
      </c>
      <c r="B899" s="8">
        <v>1.0</v>
      </c>
      <c r="C899" s="8">
        <v>11.0</v>
      </c>
      <c r="D899" s="8">
        <v>12.0</v>
      </c>
      <c r="E899" s="8">
        <v>28.0</v>
      </c>
      <c r="F899" s="8">
        <v>46.0</v>
      </c>
      <c r="G899" s="8">
        <v>54.0</v>
      </c>
      <c r="H899" s="9">
        <v>40.0</v>
      </c>
      <c r="I899" s="4">
        <v>45106.0</v>
      </c>
      <c r="J899" s="5" t="s">
        <v>1793</v>
      </c>
      <c r="K899" s="11" t="s">
        <v>1794</v>
      </c>
    </row>
    <row r="900">
      <c r="A900" s="7">
        <v>899.0</v>
      </c>
      <c r="B900" s="8">
        <v>13.0</v>
      </c>
      <c r="C900" s="8">
        <v>33.0</v>
      </c>
      <c r="D900" s="8">
        <v>36.0</v>
      </c>
      <c r="E900" s="8">
        <v>38.0</v>
      </c>
      <c r="F900" s="8">
        <v>45.0</v>
      </c>
      <c r="G900" s="8">
        <v>50.0</v>
      </c>
      <c r="H900" s="9">
        <v>25.0</v>
      </c>
      <c r="I900" s="4">
        <v>45108.0</v>
      </c>
      <c r="J900" s="5" t="s">
        <v>1795</v>
      </c>
      <c r="K900" s="12" t="s">
        <v>1796</v>
      </c>
    </row>
    <row r="901">
      <c r="A901" s="7">
        <v>900.0</v>
      </c>
      <c r="B901" s="8">
        <v>4.0</v>
      </c>
      <c r="C901" s="8">
        <v>13.0</v>
      </c>
      <c r="D901" s="8">
        <v>14.0</v>
      </c>
      <c r="E901" s="8">
        <v>23.0</v>
      </c>
      <c r="F901" s="8">
        <v>33.0</v>
      </c>
      <c r="G901" s="8">
        <v>50.0</v>
      </c>
      <c r="H901" s="9">
        <v>41.0</v>
      </c>
      <c r="I901" s="4">
        <v>45111.0</v>
      </c>
      <c r="J901" s="5" t="s">
        <v>1797</v>
      </c>
      <c r="K901" s="11" t="s">
        <v>1798</v>
      </c>
    </row>
    <row r="902">
      <c r="A902" s="7">
        <v>901.0</v>
      </c>
      <c r="B902" s="8">
        <v>7.0</v>
      </c>
      <c r="C902" s="8">
        <v>12.0</v>
      </c>
      <c r="D902" s="8">
        <v>29.0</v>
      </c>
      <c r="E902" s="8">
        <v>39.0</v>
      </c>
      <c r="F902" s="8">
        <v>46.0</v>
      </c>
      <c r="G902" s="8">
        <v>55.0</v>
      </c>
      <c r="H902" s="9">
        <v>1.0</v>
      </c>
      <c r="I902" s="4">
        <v>45113.0</v>
      </c>
      <c r="J902" s="5" t="s">
        <v>1799</v>
      </c>
      <c r="K902" s="10" t="s">
        <v>1800</v>
      </c>
    </row>
    <row r="903">
      <c r="A903" s="7">
        <v>902.0</v>
      </c>
      <c r="B903" s="8">
        <v>8.0</v>
      </c>
      <c r="C903" s="8">
        <v>11.0</v>
      </c>
      <c r="D903" s="8">
        <v>23.0</v>
      </c>
      <c r="E903" s="8">
        <v>43.0</v>
      </c>
      <c r="F903" s="8">
        <v>44.0</v>
      </c>
      <c r="G903" s="8">
        <v>48.0</v>
      </c>
      <c r="H903" s="9">
        <v>41.0</v>
      </c>
      <c r="I903" s="4">
        <v>45115.0</v>
      </c>
      <c r="J903" s="5" t="s">
        <v>1801</v>
      </c>
      <c r="K903" s="11" t="s">
        <v>1802</v>
      </c>
    </row>
    <row r="904">
      <c r="A904" s="7">
        <v>903.0</v>
      </c>
      <c r="B904" s="8">
        <v>24.0</v>
      </c>
      <c r="C904" s="8">
        <v>40.0</v>
      </c>
      <c r="D904" s="8">
        <v>44.0</v>
      </c>
      <c r="E904" s="8">
        <v>46.0</v>
      </c>
      <c r="F904" s="8">
        <v>47.0</v>
      </c>
      <c r="G904" s="8">
        <v>49.0</v>
      </c>
      <c r="H904" s="9">
        <v>5.0</v>
      </c>
      <c r="I904" s="4">
        <v>45118.0</v>
      </c>
      <c r="J904" s="5" t="s">
        <v>1803</v>
      </c>
      <c r="K904" s="12" t="s">
        <v>1804</v>
      </c>
    </row>
    <row r="905">
      <c r="A905" s="7">
        <v>904.0</v>
      </c>
      <c r="B905" s="8">
        <v>3.0</v>
      </c>
      <c r="C905" s="8">
        <v>4.0</v>
      </c>
      <c r="D905" s="8">
        <v>30.0</v>
      </c>
      <c r="E905" s="8">
        <v>34.0</v>
      </c>
      <c r="F905" s="8">
        <v>36.0</v>
      </c>
      <c r="G905" s="8">
        <v>49.0</v>
      </c>
      <c r="H905" s="9">
        <v>8.0</v>
      </c>
      <c r="I905" s="4">
        <v>45120.0</v>
      </c>
      <c r="J905" s="5" t="s">
        <v>1805</v>
      </c>
      <c r="K905" s="11" t="s">
        <v>1806</v>
      </c>
    </row>
    <row r="906">
      <c r="A906" s="7">
        <v>905.0</v>
      </c>
      <c r="B906" s="8">
        <v>2.0</v>
      </c>
      <c r="C906" s="8">
        <v>16.0</v>
      </c>
      <c r="D906" s="8">
        <v>31.0</v>
      </c>
      <c r="E906" s="8">
        <v>37.0</v>
      </c>
      <c r="F906" s="8">
        <v>38.0</v>
      </c>
      <c r="G906" s="8">
        <v>48.0</v>
      </c>
      <c r="H906" s="9">
        <v>36.0</v>
      </c>
      <c r="I906" s="4">
        <v>45122.0</v>
      </c>
      <c r="J906" s="5" t="s">
        <v>1807</v>
      </c>
      <c r="K906" s="10" t="s">
        <v>1808</v>
      </c>
    </row>
    <row r="907">
      <c r="A907" s="7">
        <v>906.0</v>
      </c>
      <c r="B907" s="8">
        <v>10.0</v>
      </c>
      <c r="C907" s="8">
        <v>11.0</v>
      </c>
      <c r="D907" s="8">
        <v>19.0</v>
      </c>
      <c r="E907" s="8">
        <v>28.0</v>
      </c>
      <c r="F907" s="8">
        <v>42.0</v>
      </c>
      <c r="G907" s="8">
        <v>47.0</v>
      </c>
      <c r="H907" s="9">
        <v>16.0</v>
      </c>
      <c r="I907" s="4">
        <v>45125.0</v>
      </c>
      <c r="J907" s="5" t="s">
        <v>1809</v>
      </c>
      <c r="K907" s="11" t="s">
        <v>1810</v>
      </c>
    </row>
    <row r="908">
      <c r="A908" s="7">
        <v>907.0</v>
      </c>
      <c r="B908" s="8">
        <v>5.0</v>
      </c>
      <c r="C908" s="8">
        <v>34.0</v>
      </c>
      <c r="D908" s="8">
        <v>36.0</v>
      </c>
      <c r="E908" s="8">
        <v>38.0</v>
      </c>
      <c r="F908" s="8">
        <v>47.0</v>
      </c>
      <c r="G908" s="8">
        <v>50.0</v>
      </c>
      <c r="H908" s="9">
        <v>26.0</v>
      </c>
      <c r="I908" s="4">
        <v>45127.0</v>
      </c>
      <c r="J908" s="5" t="s">
        <v>1811</v>
      </c>
      <c r="K908" s="10" t="s">
        <v>1812</v>
      </c>
    </row>
    <row r="909">
      <c r="A909" s="7">
        <v>908.0</v>
      </c>
      <c r="B909" s="8">
        <v>9.0</v>
      </c>
      <c r="C909" s="8">
        <v>15.0</v>
      </c>
      <c r="D909" s="8">
        <v>23.0</v>
      </c>
      <c r="E909" s="8">
        <v>25.0</v>
      </c>
      <c r="F909" s="8">
        <v>27.0</v>
      </c>
      <c r="G909" s="8">
        <v>34.0</v>
      </c>
      <c r="H909" s="9">
        <v>41.0</v>
      </c>
      <c r="I909" s="4">
        <v>45129.0</v>
      </c>
      <c r="J909" s="5" t="s">
        <v>1813</v>
      </c>
      <c r="K909" s="11" t="s">
        <v>1814</v>
      </c>
    </row>
    <row r="910">
      <c r="A910" s="7">
        <v>909.0</v>
      </c>
      <c r="B910" s="8">
        <v>12.0</v>
      </c>
      <c r="C910" s="8">
        <v>23.0</v>
      </c>
      <c r="D910" s="8">
        <v>42.0</v>
      </c>
      <c r="E910" s="8">
        <v>44.0</v>
      </c>
      <c r="F910" s="8">
        <v>51.0</v>
      </c>
      <c r="G910" s="8">
        <v>52.0</v>
      </c>
      <c r="H910" s="9">
        <v>3.0</v>
      </c>
      <c r="I910" s="4">
        <v>45132.0</v>
      </c>
      <c r="J910" s="5" t="s">
        <v>1815</v>
      </c>
      <c r="K910" s="12" t="s">
        <v>1816</v>
      </c>
    </row>
    <row r="911">
      <c r="A911" s="7">
        <v>910.0</v>
      </c>
      <c r="B911" s="8">
        <v>3.0</v>
      </c>
      <c r="C911" s="8">
        <v>11.0</v>
      </c>
      <c r="D911" s="8">
        <v>13.0</v>
      </c>
      <c r="E911" s="8">
        <v>31.0</v>
      </c>
      <c r="F911" s="8">
        <v>33.0</v>
      </c>
      <c r="G911" s="8">
        <v>45.0</v>
      </c>
      <c r="H911" s="9">
        <v>27.0</v>
      </c>
      <c r="I911" s="4">
        <v>45134.0</v>
      </c>
      <c r="J911" s="5" t="s">
        <v>1817</v>
      </c>
      <c r="K911" s="13" t="s">
        <v>1818</v>
      </c>
    </row>
    <row r="912">
      <c r="A912" s="7">
        <v>911.0</v>
      </c>
      <c r="B912" s="8">
        <v>16.0</v>
      </c>
      <c r="C912" s="8">
        <v>23.0</v>
      </c>
      <c r="D912" s="8">
        <v>25.0</v>
      </c>
      <c r="E912" s="8">
        <v>26.0</v>
      </c>
      <c r="F912" s="8">
        <v>29.0</v>
      </c>
      <c r="G912" s="8">
        <v>40.0</v>
      </c>
      <c r="H912" s="9">
        <v>32.0</v>
      </c>
      <c r="I912" s="4">
        <v>45136.0</v>
      </c>
      <c r="J912" s="5" t="s">
        <v>1819</v>
      </c>
      <c r="K912" s="12" t="s">
        <v>1820</v>
      </c>
    </row>
    <row r="913">
      <c r="A913" s="7">
        <v>912.0</v>
      </c>
      <c r="B913" s="8">
        <v>4.0</v>
      </c>
      <c r="C913" s="8">
        <v>18.0</v>
      </c>
      <c r="D913" s="8">
        <v>22.0</v>
      </c>
      <c r="E913" s="8">
        <v>25.0</v>
      </c>
      <c r="F913" s="8">
        <v>33.0</v>
      </c>
      <c r="G913" s="8">
        <v>48.0</v>
      </c>
      <c r="H913" s="9">
        <v>2.0</v>
      </c>
      <c r="I913" s="4">
        <v>45139.0</v>
      </c>
      <c r="J913" s="5" t="s">
        <v>1821</v>
      </c>
      <c r="K913" s="11" t="s">
        <v>1822</v>
      </c>
    </row>
    <row r="914">
      <c r="A914" s="7">
        <v>913.0</v>
      </c>
      <c r="B914" s="8">
        <v>3.0</v>
      </c>
      <c r="C914" s="8">
        <v>12.0</v>
      </c>
      <c r="D914" s="8">
        <v>22.0</v>
      </c>
      <c r="E914" s="8">
        <v>25.0</v>
      </c>
      <c r="F914" s="8">
        <v>37.0</v>
      </c>
      <c r="G914" s="8">
        <v>39.0</v>
      </c>
      <c r="H914" s="9">
        <v>7.0</v>
      </c>
      <c r="I914" s="4">
        <v>45141.0</v>
      </c>
      <c r="J914" s="5" t="s">
        <v>1823</v>
      </c>
      <c r="K914" s="10" t="s">
        <v>1824</v>
      </c>
    </row>
    <row r="915">
      <c r="A915" s="7">
        <v>914.0</v>
      </c>
      <c r="B915" s="8">
        <v>22.0</v>
      </c>
      <c r="C915" s="8">
        <v>34.0</v>
      </c>
      <c r="D915" s="8">
        <v>40.0</v>
      </c>
      <c r="E915" s="8">
        <v>47.0</v>
      </c>
      <c r="F915" s="8">
        <v>49.0</v>
      </c>
      <c r="G915" s="8">
        <v>51.0</v>
      </c>
      <c r="H915" s="9">
        <v>44.0</v>
      </c>
      <c r="I915" s="4">
        <v>45143.0</v>
      </c>
      <c r="J915" s="5" t="s">
        <v>1825</v>
      </c>
      <c r="K915" s="11" t="s">
        <v>1826</v>
      </c>
    </row>
    <row r="916">
      <c r="A916" s="7">
        <v>915.0</v>
      </c>
      <c r="B916" s="8">
        <v>5.0</v>
      </c>
      <c r="C916" s="8">
        <v>6.0</v>
      </c>
      <c r="D916" s="8">
        <v>19.0</v>
      </c>
      <c r="E916" s="8">
        <v>20.0</v>
      </c>
      <c r="F916" s="8">
        <v>40.0</v>
      </c>
      <c r="G916" s="8">
        <v>45.0</v>
      </c>
      <c r="H916" s="9">
        <v>47.0</v>
      </c>
      <c r="I916" s="4">
        <v>45146.0</v>
      </c>
      <c r="J916" s="5" t="s">
        <v>1827</v>
      </c>
      <c r="K916" s="10" t="s">
        <v>1828</v>
      </c>
    </row>
    <row r="917">
      <c r="A917" s="7">
        <v>916.0</v>
      </c>
      <c r="B917" s="8">
        <v>4.0</v>
      </c>
      <c r="C917" s="8">
        <v>14.0</v>
      </c>
      <c r="D917" s="8">
        <v>31.0</v>
      </c>
      <c r="E917" s="8">
        <v>42.0</v>
      </c>
      <c r="F917" s="8">
        <v>47.0</v>
      </c>
      <c r="G917" s="8">
        <v>49.0</v>
      </c>
      <c r="H917" s="9">
        <v>43.0</v>
      </c>
      <c r="I917" s="4">
        <v>45148.0</v>
      </c>
      <c r="J917" s="5" t="s">
        <v>1829</v>
      </c>
      <c r="K917" s="11" t="s">
        <v>1830</v>
      </c>
    </row>
    <row r="918">
      <c r="A918" s="7">
        <v>917.0</v>
      </c>
      <c r="B918" s="8">
        <v>13.0</v>
      </c>
      <c r="C918" s="8">
        <v>24.0</v>
      </c>
      <c r="D918" s="8">
        <v>39.0</v>
      </c>
      <c r="E918" s="8">
        <v>43.0</v>
      </c>
      <c r="F918" s="8">
        <v>45.0</v>
      </c>
      <c r="G918" s="8">
        <v>52.0</v>
      </c>
      <c r="H918" s="9">
        <v>8.0</v>
      </c>
      <c r="I918" s="4">
        <v>45150.0</v>
      </c>
      <c r="J918" s="5" t="s">
        <v>1831</v>
      </c>
      <c r="K918" s="10" t="s">
        <v>1832</v>
      </c>
    </row>
    <row r="919">
      <c r="A919" s="7">
        <v>918.0</v>
      </c>
      <c r="B919" s="8">
        <v>5.0</v>
      </c>
      <c r="C919" s="8">
        <v>12.0</v>
      </c>
      <c r="D919" s="8">
        <v>25.0</v>
      </c>
      <c r="E919" s="8">
        <v>39.0</v>
      </c>
      <c r="F919" s="8">
        <v>40.0</v>
      </c>
      <c r="G919" s="8">
        <v>53.0</v>
      </c>
      <c r="H919" s="9">
        <v>52.0</v>
      </c>
      <c r="I919" s="4">
        <v>45153.0</v>
      </c>
      <c r="J919" s="5" t="s">
        <v>1833</v>
      </c>
      <c r="K919" s="11" t="s">
        <v>1834</v>
      </c>
    </row>
    <row r="920">
      <c r="A920" s="7">
        <v>919.0</v>
      </c>
      <c r="B920" s="8">
        <v>1.0</v>
      </c>
      <c r="C920" s="8">
        <v>5.0</v>
      </c>
      <c r="D920" s="8">
        <v>25.0</v>
      </c>
      <c r="E920" s="8">
        <v>32.0</v>
      </c>
      <c r="F920" s="8">
        <v>51.0</v>
      </c>
      <c r="G920" s="8">
        <v>52.0</v>
      </c>
      <c r="H920" s="9">
        <v>54.0</v>
      </c>
      <c r="I920" s="4">
        <v>45155.0</v>
      </c>
      <c r="J920" s="5" t="s">
        <v>1835</v>
      </c>
      <c r="K920" s="10" t="s">
        <v>1836</v>
      </c>
    </row>
    <row r="921">
      <c r="A921" s="7">
        <v>920.0</v>
      </c>
      <c r="B921" s="8">
        <v>7.0</v>
      </c>
      <c r="C921" s="8">
        <v>9.0</v>
      </c>
      <c r="D921" s="8">
        <v>13.0</v>
      </c>
      <c r="E921" s="8">
        <v>22.0</v>
      </c>
      <c r="F921" s="8">
        <v>27.0</v>
      </c>
      <c r="G921" s="8">
        <v>42.0</v>
      </c>
      <c r="H921" s="9">
        <v>23.0</v>
      </c>
      <c r="I921" s="4">
        <v>45157.0</v>
      </c>
      <c r="J921" s="5" t="s">
        <v>1837</v>
      </c>
      <c r="K921" s="11" t="s">
        <v>1838</v>
      </c>
    </row>
    <row r="922">
      <c r="A922" s="7">
        <v>921.0</v>
      </c>
      <c r="B922" s="8">
        <v>2.0</v>
      </c>
      <c r="C922" s="8">
        <v>3.0</v>
      </c>
      <c r="D922" s="8">
        <v>6.0</v>
      </c>
      <c r="E922" s="8">
        <v>34.0</v>
      </c>
      <c r="F922" s="8">
        <v>35.0</v>
      </c>
      <c r="G922" s="8">
        <v>36.0</v>
      </c>
      <c r="H922" s="9">
        <v>31.0</v>
      </c>
      <c r="I922" s="4">
        <v>45160.0</v>
      </c>
      <c r="J922" s="5" t="s">
        <v>1839</v>
      </c>
      <c r="K922" s="10" t="s">
        <v>1840</v>
      </c>
    </row>
    <row r="923">
      <c r="A923" s="7">
        <v>922.0</v>
      </c>
      <c r="B923" s="8">
        <v>1.0</v>
      </c>
      <c r="C923" s="8">
        <v>10.0</v>
      </c>
      <c r="D923" s="8">
        <v>20.0</v>
      </c>
      <c r="E923" s="8">
        <v>41.0</v>
      </c>
      <c r="F923" s="8">
        <v>42.0</v>
      </c>
      <c r="G923" s="8">
        <v>50.0</v>
      </c>
      <c r="H923" s="9">
        <v>39.0</v>
      </c>
      <c r="I923" s="4">
        <v>45162.0</v>
      </c>
      <c r="J923" s="5" t="s">
        <v>1841</v>
      </c>
      <c r="K923" s="13" t="s">
        <v>1842</v>
      </c>
    </row>
    <row r="924">
      <c r="A924" s="7">
        <v>923.0</v>
      </c>
      <c r="B924" s="8">
        <v>5.0</v>
      </c>
      <c r="C924" s="8">
        <v>8.0</v>
      </c>
      <c r="D924" s="8">
        <v>24.0</v>
      </c>
      <c r="E924" s="8">
        <v>38.0</v>
      </c>
      <c r="F924" s="8">
        <v>50.0</v>
      </c>
      <c r="G924" s="8">
        <v>51.0</v>
      </c>
      <c r="H924" s="9">
        <v>47.0</v>
      </c>
      <c r="I924" s="4">
        <v>45164.0</v>
      </c>
      <c r="J924" s="5" t="s">
        <v>1843</v>
      </c>
      <c r="K924" s="10" t="s">
        <v>1844</v>
      </c>
    </row>
    <row r="925">
      <c r="A925" s="7">
        <v>924.0</v>
      </c>
      <c r="B925" s="8">
        <v>1.0</v>
      </c>
      <c r="C925" s="8">
        <v>8.0</v>
      </c>
      <c r="D925" s="8">
        <v>20.0</v>
      </c>
      <c r="E925" s="8">
        <v>25.0</v>
      </c>
      <c r="F925" s="8">
        <v>35.0</v>
      </c>
      <c r="G925" s="8">
        <v>53.0</v>
      </c>
      <c r="H925" s="9">
        <v>54.0</v>
      </c>
      <c r="I925" s="4">
        <v>45167.0</v>
      </c>
      <c r="J925" s="5" t="s">
        <v>1845</v>
      </c>
      <c r="K925" s="11" t="s">
        <v>1846</v>
      </c>
    </row>
    <row r="926">
      <c r="A926" s="7">
        <v>925.0</v>
      </c>
      <c r="B926" s="8">
        <v>23.0</v>
      </c>
      <c r="C926" s="8">
        <v>33.0</v>
      </c>
      <c r="D926" s="8">
        <v>37.0</v>
      </c>
      <c r="E926" s="8">
        <v>43.0</v>
      </c>
      <c r="F926" s="8">
        <v>45.0</v>
      </c>
      <c r="G926" s="8">
        <v>46.0</v>
      </c>
      <c r="H926" s="9">
        <v>29.0</v>
      </c>
      <c r="I926" s="4">
        <v>45169.0</v>
      </c>
      <c r="J926" s="5" t="s">
        <v>1847</v>
      </c>
      <c r="K926" s="10" t="s">
        <v>1848</v>
      </c>
    </row>
    <row r="927">
      <c r="A927" s="7">
        <v>926.0</v>
      </c>
      <c r="B927" s="8">
        <v>12.0</v>
      </c>
      <c r="C927" s="8">
        <v>15.0</v>
      </c>
      <c r="D927" s="8">
        <v>32.0</v>
      </c>
      <c r="E927" s="8">
        <v>44.0</v>
      </c>
      <c r="F927" s="8">
        <v>46.0</v>
      </c>
      <c r="G927" s="8">
        <v>51.0</v>
      </c>
      <c r="H927" s="9">
        <v>48.0</v>
      </c>
      <c r="I927" s="4">
        <v>45171.0</v>
      </c>
      <c r="J927" s="5" t="s">
        <v>1849</v>
      </c>
      <c r="K927" s="11" t="s">
        <v>1850</v>
      </c>
    </row>
    <row r="928">
      <c r="A928" s="7">
        <v>927.0</v>
      </c>
      <c r="B928" s="8">
        <v>2.0</v>
      </c>
      <c r="C928" s="8">
        <v>6.0</v>
      </c>
      <c r="D928" s="8">
        <v>19.0</v>
      </c>
      <c r="E928" s="8">
        <v>29.0</v>
      </c>
      <c r="F928" s="8">
        <v>34.0</v>
      </c>
      <c r="G928" s="8">
        <v>48.0</v>
      </c>
      <c r="H928" s="9">
        <v>39.0</v>
      </c>
      <c r="I928" s="4">
        <v>45174.0</v>
      </c>
      <c r="J928" s="5" t="s">
        <v>1851</v>
      </c>
      <c r="K928" s="10" t="s">
        <v>1852</v>
      </c>
    </row>
    <row r="929">
      <c r="A929" s="7">
        <v>928.0</v>
      </c>
      <c r="B929" s="8">
        <v>1.0</v>
      </c>
      <c r="C929" s="8">
        <v>4.0</v>
      </c>
      <c r="D929" s="8">
        <v>36.0</v>
      </c>
      <c r="E929" s="8">
        <v>42.0</v>
      </c>
      <c r="F929" s="8">
        <v>45.0</v>
      </c>
      <c r="G929" s="8">
        <v>54.0</v>
      </c>
      <c r="H929" s="9">
        <v>32.0</v>
      </c>
      <c r="I929" s="4">
        <v>45176.0</v>
      </c>
      <c r="J929" s="5" t="s">
        <v>1853</v>
      </c>
      <c r="K929" s="13" t="s">
        <v>1854</v>
      </c>
    </row>
    <row r="930">
      <c r="A930" s="7">
        <v>929.0</v>
      </c>
      <c r="B930" s="8">
        <v>13.0</v>
      </c>
      <c r="C930" s="8">
        <v>20.0</v>
      </c>
      <c r="D930" s="8">
        <v>32.0</v>
      </c>
      <c r="E930" s="8">
        <v>37.0</v>
      </c>
      <c r="F930" s="8">
        <v>43.0</v>
      </c>
      <c r="G930" s="8">
        <v>49.0</v>
      </c>
      <c r="H930" s="9">
        <v>40.0</v>
      </c>
      <c r="I930" s="4">
        <v>45178.0</v>
      </c>
      <c r="J930" s="5" t="s">
        <v>1855</v>
      </c>
      <c r="K930" s="10" t="s">
        <v>1856</v>
      </c>
    </row>
    <row r="931">
      <c r="A931" s="7">
        <v>930.0</v>
      </c>
      <c r="B931" s="8">
        <v>26.0</v>
      </c>
      <c r="C931" s="8">
        <v>31.0</v>
      </c>
      <c r="D931" s="8">
        <v>32.0</v>
      </c>
      <c r="E931" s="8">
        <v>39.0</v>
      </c>
      <c r="F931" s="8">
        <v>45.0</v>
      </c>
      <c r="G931" s="8">
        <v>55.0</v>
      </c>
      <c r="H931" s="9">
        <v>28.0</v>
      </c>
      <c r="I931" s="4">
        <v>45181.0</v>
      </c>
      <c r="J931" s="5" t="s">
        <v>1857</v>
      </c>
      <c r="K931" s="11" t="s">
        <v>1858</v>
      </c>
    </row>
    <row r="932">
      <c r="A932" s="7">
        <v>931.0</v>
      </c>
      <c r="B932" s="8">
        <v>6.0</v>
      </c>
      <c r="C932" s="8">
        <v>10.0</v>
      </c>
      <c r="D932" s="8">
        <v>20.0</v>
      </c>
      <c r="E932" s="8">
        <v>22.0</v>
      </c>
      <c r="F932" s="8">
        <v>50.0</v>
      </c>
      <c r="G932" s="8">
        <v>52.0</v>
      </c>
      <c r="H932" s="9">
        <v>34.0</v>
      </c>
      <c r="I932" s="4">
        <v>45183.0</v>
      </c>
      <c r="J932" s="5" t="s">
        <v>1859</v>
      </c>
      <c r="K932" s="10" t="s">
        <v>1860</v>
      </c>
    </row>
    <row r="933">
      <c r="A933" s="7">
        <v>932.0</v>
      </c>
      <c r="B933" s="8">
        <v>25.0</v>
      </c>
      <c r="C933" s="8">
        <v>27.0</v>
      </c>
      <c r="D933" s="8">
        <v>42.0</v>
      </c>
      <c r="E933" s="8">
        <v>51.0</v>
      </c>
      <c r="F933" s="8">
        <v>54.0</v>
      </c>
      <c r="G933" s="8">
        <v>55.0</v>
      </c>
      <c r="H933" s="9">
        <v>45.0</v>
      </c>
      <c r="I933" s="4">
        <v>45185.0</v>
      </c>
      <c r="J933" s="5" t="s">
        <v>1861</v>
      </c>
      <c r="K933" s="11" t="s">
        <v>1862</v>
      </c>
    </row>
    <row r="934">
      <c r="A934" s="7">
        <v>933.0</v>
      </c>
      <c r="B934" s="8">
        <v>17.0</v>
      </c>
      <c r="C934" s="8">
        <v>29.0</v>
      </c>
      <c r="D934" s="8">
        <v>35.0</v>
      </c>
      <c r="E934" s="8">
        <v>40.0</v>
      </c>
      <c r="F934" s="8">
        <v>51.0</v>
      </c>
      <c r="G934" s="8">
        <v>52.0</v>
      </c>
      <c r="H934" s="9">
        <v>23.0</v>
      </c>
      <c r="I934" s="4">
        <v>45188.0</v>
      </c>
      <c r="J934" s="5" t="s">
        <v>1863</v>
      </c>
      <c r="K934" s="10" t="s">
        <v>1864</v>
      </c>
    </row>
    <row r="935">
      <c r="A935" s="7">
        <v>934.0</v>
      </c>
      <c r="B935" s="8">
        <v>16.0</v>
      </c>
      <c r="C935" s="8">
        <v>26.0</v>
      </c>
      <c r="D935" s="8">
        <v>33.0</v>
      </c>
      <c r="E935" s="8">
        <v>34.0</v>
      </c>
      <c r="F935" s="8">
        <v>41.0</v>
      </c>
      <c r="G935" s="8">
        <v>43.0</v>
      </c>
      <c r="H935" s="9">
        <v>53.0</v>
      </c>
      <c r="I935" s="4">
        <v>45190.0</v>
      </c>
      <c r="J935" s="5" t="s">
        <v>1865</v>
      </c>
      <c r="K935" s="11" t="s">
        <v>1866</v>
      </c>
    </row>
    <row r="936">
      <c r="A936" s="7">
        <v>935.0</v>
      </c>
      <c r="B936" s="8">
        <v>20.0</v>
      </c>
      <c r="C936" s="8">
        <v>27.0</v>
      </c>
      <c r="D936" s="8">
        <v>36.0</v>
      </c>
      <c r="E936" s="8">
        <v>43.0</v>
      </c>
      <c r="F936" s="8">
        <v>45.0</v>
      </c>
      <c r="G936" s="8">
        <v>47.0</v>
      </c>
      <c r="H936" s="9">
        <v>35.0</v>
      </c>
      <c r="I936" s="4">
        <v>45192.0</v>
      </c>
      <c r="J936" s="5" t="s">
        <v>1867</v>
      </c>
      <c r="K936" s="10" t="s">
        <v>1868</v>
      </c>
    </row>
    <row r="937">
      <c r="A937" s="7">
        <v>936.0</v>
      </c>
      <c r="B937" s="8">
        <v>14.0</v>
      </c>
      <c r="C937" s="8">
        <v>20.0</v>
      </c>
      <c r="D937" s="8">
        <v>24.0</v>
      </c>
      <c r="E937" s="8">
        <v>27.0</v>
      </c>
      <c r="F937" s="8">
        <v>41.0</v>
      </c>
      <c r="G937" s="8">
        <v>44.0</v>
      </c>
      <c r="H937" s="9">
        <v>23.0</v>
      </c>
      <c r="I937" s="4">
        <v>45195.0</v>
      </c>
      <c r="J937" s="5" t="s">
        <v>1869</v>
      </c>
      <c r="K937" s="11" t="s">
        <v>1870</v>
      </c>
    </row>
    <row r="938">
      <c r="A938" s="7">
        <v>937.0</v>
      </c>
      <c r="B938" s="8">
        <v>4.0</v>
      </c>
      <c r="C938" s="8">
        <v>23.0</v>
      </c>
      <c r="D938" s="8">
        <v>36.0</v>
      </c>
      <c r="E938" s="8">
        <v>45.0</v>
      </c>
      <c r="F938" s="8">
        <v>47.0</v>
      </c>
      <c r="G938" s="8">
        <v>50.0</v>
      </c>
      <c r="H938" s="9">
        <v>22.0</v>
      </c>
      <c r="I938" s="4">
        <v>45197.0</v>
      </c>
      <c r="J938" s="5" t="s">
        <v>1871</v>
      </c>
      <c r="K938" s="10" t="s">
        <v>1872</v>
      </c>
    </row>
    <row r="939">
      <c r="A939" s="7">
        <v>938.0</v>
      </c>
      <c r="B939" s="8">
        <v>3.0</v>
      </c>
      <c r="C939" s="8">
        <v>13.0</v>
      </c>
      <c r="D939" s="8">
        <v>19.0</v>
      </c>
      <c r="E939" s="8">
        <v>30.0</v>
      </c>
      <c r="F939" s="8">
        <v>38.0</v>
      </c>
      <c r="G939" s="8">
        <v>44.0</v>
      </c>
      <c r="H939" s="9">
        <v>51.0</v>
      </c>
      <c r="I939" s="4">
        <v>45199.0</v>
      </c>
      <c r="J939" s="5" t="s">
        <v>1873</v>
      </c>
      <c r="K939" s="13" t="s">
        <v>1874</v>
      </c>
    </row>
    <row r="940">
      <c r="A940" s="7">
        <v>939.0</v>
      </c>
      <c r="B940" s="8">
        <v>3.0</v>
      </c>
      <c r="C940" s="8">
        <v>15.0</v>
      </c>
      <c r="D940" s="8">
        <v>27.0</v>
      </c>
      <c r="E940" s="8">
        <v>29.0</v>
      </c>
      <c r="F940" s="8">
        <v>37.0</v>
      </c>
      <c r="G940" s="8">
        <v>48.0</v>
      </c>
      <c r="H940" s="9">
        <v>55.0</v>
      </c>
      <c r="I940" s="4">
        <v>45202.0</v>
      </c>
      <c r="J940" s="5" t="s">
        <v>1875</v>
      </c>
      <c r="K940" s="10" t="s">
        <v>1876</v>
      </c>
    </row>
    <row r="941">
      <c r="A941" s="7">
        <v>940.0</v>
      </c>
      <c r="B941" s="8">
        <v>1.0</v>
      </c>
      <c r="C941" s="8">
        <v>21.0</v>
      </c>
      <c r="D941" s="8">
        <v>33.0</v>
      </c>
      <c r="E941" s="8">
        <v>46.0</v>
      </c>
      <c r="F941" s="8">
        <v>47.0</v>
      </c>
      <c r="G941" s="8">
        <v>53.0</v>
      </c>
      <c r="H941" s="9">
        <v>9.0</v>
      </c>
      <c r="I941" s="4">
        <v>45204.0</v>
      </c>
      <c r="J941" s="5" t="s">
        <v>1877</v>
      </c>
      <c r="K941" s="11" t="s">
        <v>1878</v>
      </c>
    </row>
    <row r="942">
      <c r="A942" s="7">
        <v>941.0</v>
      </c>
      <c r="B942" s="8">
        <v>4.0</v>
      </c>
      <c r="C942" s="8">
        <v>13.0</v>
      </c>
      <c r="D942" s="8">
        <v>36.0</v>
      </c>
      <c r="E942" s="8">
        <v>40.0</v>
      </c>
      <c r="F942" s="8">
        <v>43.0</v>
      </c>
      <c r="G942" s="8">
        <v>52.0</v>
      </c>
      <c r="H942" s="9">
        <v>34.0</v>
      </c>
      <c r="I942" s="4">
        <v>45206.0</v>
      </c>
      <c r="J942" s="5" t="s">
        <v>1879</v>
      </c>
      <c r="K942" s="12" t="s">
        <v>1880</v>
      </c>
    </row>
    <row r="943">
      <c r="A943" s="7">
        <v>942.0</v>
      </c>
      <c r="B943" s="8">
        <v>6.0</v>
      </c>
      <c r="C943" s="8">
        <v>23.0</v>
      </c>
      <c r="D943" s="8">
        <v>26.0</v>
      </c>
      <c r="E943" s="8">
        <v>37.0</v>
      </c>
      <c r="F943" s="8">
        <v>44.0</v>
      </c>
      <c r="G943" s="8">
        <v>46.0</v>
      </c>
      <c r="H943" s="9">
        <v>33.0</v>
      </c>
      <c r="I943" s="4">
        <v>45209.0</v>
      </c>
      <c r="J943" s="5" t="s">
        <v>1881</v>
      </c>
      <c r="K943" s="11" t="s">
        <v>1882</v>
      </c>
    </row>
    <row r="944">
      <c r="A944" s="7">
        <v>943.0</v>
      </c>
      <c r="B944" s="8">
        <v>5.0</v>
      </c>
      <c r="C944" s="8">
        <v>8.0</v>
      </c>
      <c r="D944" s="8">
        <v>9.0</v>
      </c>
      <c r="E944" s="8">
        <v>20.0</v>
      </c>
      <c r="F944" s="8">
        <v>36.0</v>
      </c>
      <c r="G944" s="8">
        <v>50.0</v>
      </c>
      <c r="H944" s="9">
        <v>35.0</v>
      </c>
      <c r="I944" s="4">
        <v>45211.0</v>
      </c>
      <c r="J944" s="5" t="s">
        <v>1883</v>
      </c>
      <c r="K944" s="10" t="s">
        <v>1884</v>
      </c>
    </row>
    <row r="945">
      <c r="A945" s="7">
        <v>944.0</v>
      </c>
      <c r="B945" s="8">
        <v>8.0</v>
      </c>
      <c r="C945" s="8">
        <v>23.0</v>
      </c>
      <c r="D945" s="8">
        <v>30.0</v>
      </c>
      <c r="E945" s="8">
        <v>34.0</v>
      </c>
      <c r="F945" s="8">
        <v>38.0</v>
      </c>
      <c r="G945" s="8">
        <v>47.0</v>
      </c>
      <c r="H945" s="9">
        <v>10.0</v>
      </c>
      <c r="I945" s="4">
        <v>45213.0</v>
      </c>
      <c r="J945" s="5" t="s">
        <v>1885</v>
      </c>
      <c r="K945" s="13" t="s">
        <v>1886</v>
      </c>
    </row>
    <row r="946">
      <c r="A946" s="7">
        <v>945.0</v>
      </c>
      <c r="B946" s="8">
        <v>13.0</v>
      </c>
      <c r="C946" s="8">
        <v>22.0</v>
      </c>
      <c r="D946" s="8">
        <v>33.0</v>
      </c>
      <c r="E946" s="8">
        <v>41.0</v>
      </c>
      <c r="F946" s="8">
        <v>46.0</v>
      </c>
      <c r="G946" s="8">
        <v>47.0</v>
      </c>
      <c r="H946" s="9">
        <v>9.0</v>
      </c>
      <c r="I946" s="4">
        <v>45216.0</v>
      </c>
      <c r="J946" s="5" t="s">
        <v>1887</v>
      </c>
      <c r="K946" s="10" t="s">
        <v>1888</v>
      </c>
    </row>
    <row r="947">
      <c r="A947" s="7">
        <v>946.0</v>
      </c>
      <c r="B947" s="8">
        <v>1.0</v>
      </c>
      <c r="C947" s="8">
        <v>23.0</v>
      </c>
      <c r="D947" s="8">
        <v>29.0</v>
      </c>
      <c r="E947" s="8">
        <v>37.0</v>
      </c>
      <c r="F947" s="8">
        <v>51.0</v>
      </c>
      <c r="G947" s="8">
        <v>55.0</v>
      </c>
      <c r="H947" s="9">
        <v>54.0</v>
      </c>
      <c r="I947" s="4">
        <v>45218.0</v>
      </c>
      <c r="J947" s="5" t="s">
        <v>1889</v>
      </c>
      <c r="K947" s="11" t="s">
        <v>1890</v>
      </c>
    </row>
    <row r="948">
      <c r="A948" s="7">
        <v>947.0</v>
      </c>
      <c r="B948" s="8">
        <v>11.0</v>
      </c>
      <c r="C948" s="8">
        <v>16.0</v>
      </c>
      <c r="D948" s="8">
        <v>24.0</v>
      </c>
      <c r="E948" s="8">
        <v>34.0</v>
      </c>
      <c r="F948" s="8">
        <v>47.0</v>
      </c>
      <c r="G948" s="8">
        <v>52.0</v>
      </c>
      <c r="H948" s="9">
        <v>15.0</v>
      </c>
      <c r="I948" s="4">
        <v>45220.0</v>
      </c>
      <c r="J948" s="5" t="s">
        <v>1891</v>
      </c>
      <c r="K948" s="10" t="s">
        <v>1892</v>
      </c>
    </row>
    <row r="949">
      <c r="A949" s="7">
        <v>948.0</v>
      </c>
      <c r="B949" s="8">
        <v>12.0</v>
      </c>
      <c r="C949" s="8">
        <v>20.0</v>
      </c>
      <c r="D949" s="8">
        <v>26.0</v>
      </c>
      <c r="E949" s="8">
        <v>33.0</v>
      </c>
      <c r="F949" s="8">
        <v>40.0</v>
      </c>
      <c r="G949" s="8">
        <v>44.0</v>
      </c>
      <c r="H949" s="9">
        <v>24.0</v>
      </c>
      <c r="I949" s="4">
        <v>45223.0</v>
      </c>
      <c r="J949" s="5" t="s">
        <v>1893</v>
      </c>
      <c r="K949" s="13" t="s">
        <v>1894</v>
      </c>
    </row>
    <row r="950">
      <c r="A950" s="7">
        <v>949.0</v>
      </c>
      <c r="B950" s="8">
        <v>14.0</v>
      </c>
      <c r="C950" s="8">
        <v>22.0</v>
      </c>
      <c r="D950" s="8">
        <v>32.0</v>
      </c>
      <c r="E950" s="8">
        <v>37.0</v>
      </c>
      <c r="F950" s="8">
        <v>43.0</v>
      </c>
      <c r="G950" s="8">
        <v>48.0</v>
      </c>
      <c r="H950" s="9">
        <v>42.0</v>
      </c>
      <c r="I950" s="4">
        <v>45225.0</v>
      </c>
      <c r="J950" s="5" t="s">
        <v>1895</v>
      </c>
      <c r="K950" s="10" t="s">
        <v>1896</v>
      </c>
    </row>
    <row r="951">
      <c r="A951" s="7">
        <v>950.0</v>
      </c>
      <c r="B951" s="8">
        <v>11.0</v>
      </c>
      <c r="C951" s="8">
        <v>14.0</v>
      </c>
      <c r="D951" s="8">
        <v>25.0</v>
      </c>
      <c r="E951" s="8">
        <v>44.0</v>
      </c>
      <c r="F951" s="8">
        <v>46.0</v>
      </c>
      <c r="G951" s="8">
        <v>47.0</v>
      </c>
      <c r="H951" s="9">
        <v>10.0</v>
      </c>
      <c r="I951" s="4">
        <v>45227.0</v>
      </c>
      <c r="J951" s="5" t="s">
        <v>1897</v>
      </c>
      <c r="K951" s="13" t="s">
        <v>1898</v>
      </c>
    </row>
    <row r="952">
      <c r="A952" s="7">
        <v>951.0</v>
      </c>
      <c r="B952" s="8">
        <v>10.0</v>
      </c>
      <c r="C952" s="8">
        <v>16.0</v>
      </c>
      <c r="D952" s="8">
        <v>17.0</v>
      </c>
      <c r="E952" s="8">
        <v>28.0</v>
      </c>
      <c r="F952" s="8">
        <v>37.0</v>
      </c>
      <c r="G952" s="8">
        <v>42.0</v>
      </c>
      <c r="H952" s="9">
        <v>43.0</v>
      </c>
      <c r="I952" s="4">
        <v>45230.0</v>
      </c>
      <c r="J952" s="5" t="s">
        <v>1899</v>
      </c>
      <c r="K952" s="12" t="s">
        <v>1900</v>
      </c>
    </row>
    <row r="953">
      <c r="A953" s="7">
        <v>952.0</v>
      </c>
      <c r="B953" s="8">
        <v>9.0</v>
      </c>
      <c r="C953" s="8">
        <v>15.0</v>
      </c>
      <c r="D953" s="8">
        <v>17.0</v>
      </c>
      <c r="E953" s="8">
        <v>21.0</v>
      </c>
      <c r="F953" s="8">
        <v>26.0</v>
      </c>
      <c r="G953" s="8">
        <v>36.0</v>
      </c>
      <c r="H953" s="9">
        <v>13.0</v>
      </c>
      <c r="I953" s="4">
        <v>45232.0</v>
      </c>
      <c r="J953" s="5" t="s">
        <v>1901</v>
      </c>
      <c r="K953" s="11" t="s">
        <v>1902</v>
      </c>
    </row>
    <row r="954">
      <c r="A954" s="7">
        <v>953.0</v>
      </c>
      <c r="B954" s="8">
        <v>14.0</v>
      </c>
      <c r="C954" s="8">
        <v>35.0</v>
      </c>
      <c r="D954" s="8">
        <v>37.0</v>
      </c>
      <c r="E954" s="8">
        <v>47.0</v>
      </c>
      <c r="F954" s="8">
        <v>48.0</v>
      </c>
      <c r="G954" s="8">
        <v>50.0</v>
      </c>
      <c r="H954" s="9">
        <v>43.0</v>
      </c>
      <c r="I954" s="4">
        <v>45234.0</v>
      </c>
      <c r="J954" s="5" t="s">
        <v>1903</v>
      </c>
      <c r="K954" s="10" t="s">
        <v>1904</v>
      </c>
    </row>
    <row r="955">
      <c r="A955" s="7">
        <v>954.0</v>
      </c>
      <c r="B955" s="8">
        <v>12.0</v>
      </c>
      <c r="C955" s="8">
        <v>18.0</v>
      </c>
      <c r="D955" s="8">
        <v>20.0</v>
      </c>
      <c r="E955" s="8">
        <v>28.0</v>
      </c>
      <c r="F955" s="8">
        <v>35.0</v>
      </c>
      <c r="G955" s="8">
        <v>52.0</v>
      </c>
      <c r="H955" s="9">
        <v>25.0</v>
      </c>
      <c r="I955" s="4">
        <v>45237.0</v>
      </c>
      <c r="J955" s="5" t="s">
        <v>1905</v>
      </c>
      <c r="K955" s="11" t="s">
        <v>1906</v>
      </c>
    </row>
    <row r="956">
      <c r="A956" s="7">
        <v>955.0</v>
      </c>
      <c r="B956" s="8">
        <v>8.0</v>
      </c>
      <c r="C956" s="8">
        <v>17.0</v>
      </c>
      <c r="D956" s="8">
        <v>24.0</v>
      </c>
      <c r="E956" s="8">
        <v>34.0</v>
      </c>
      <c r="F956" s="8">
        <v>39.0</v>
      </c>
      <c r="G956" s="8">
        <v>48.0</v>
      </c>
      <c r="H956" s="9">
        <v>44.0</v>
      </c>
      <c r="I956" s="4">
        <v>45239.0</v>
      </c>
      <c r="J956" s="5" t="s">
        <v>1907</v>
      </c>
      <c r="K956" s="10" t="s">
        <v>1908</v>
      </c>
    </row>
    <row r="957">
      <c r="A957" s="7">
        <v>956.0</v>
      </c>
      <c r="B957" s="8">
        <v>2.0</v>
      </c>
      <c r="C957" s="8">
        <v>3.0</v>
      </c>
      <c r="D957" s="8">
        <v>4.0</v>
      </c>
      <c r="E957" s="8">
        <v>19.0</v>
      </c>
      <c r="F957" s="8">
        <v>41.0</v>
      </c>
      <c r="G957" s="8">
        <v>42.0</v>
      </c>
      <c r="H957" s="9">
        <v>23.0</v>
      </c>
      <c r="I957" s="4">
        <v>45241.0</v>
      </c>
      <c r="J957" s="5" t="s">
        <v>1909</v>
      </c>
      <c r="K957" s="11" t="s">
        <v>1910</v>
      </c>
    </row>
    <row r="958">
      <c r="A958" s="7">
        <v>957.0</v>
      </c>
      <c r="B958" s="8">
        <v>4.0</v>
      </c>
      <c r="C958" s="8">
        <v>9.0</v>
      </c>
      <c r="D958" s="8">
        <v>12.0</v>
      </c>
      <c r="E958" s="8">
        <v>15.0</v>
      </c>
      <c r="F958" s="8">
        <v>22.0</v>
      </c>
      <c r="G958" s="8">
        <v>38.0</v>
      </c>
      <c r="H958" s="9">
        <v>40.0</v>
      </c>
      <c r="I958" s="4">
        <v>45244.0</v>
      </c>
      <c r="J958" s="5" t="s">
        <v>1911</v>
      </c>
      <c r="K958" s="10" t="s">
        <v>1912</v>
      </c>
    </row>
    <row r="959">
      <c r="A959" s="7">
        <v>958.0</v>
      </c>
      <c r="B959" s="8">
        <v>3.0</v>
      </c>
      <c r="C959" s="8">
        <v>5.0</v>
      </c>
      <c r="D959" s="8">
        <v>10.0</v>
      </c>
      <c r="E959" s="8">
        <v>18.0</v>
      </c>
      <c r="F959" s="8">
        <v>44.0</v>
      </c>
      <c r="G959" s="8">
        <v>49.0</v>
      </c>
      <c r="H959" s="9">
        <v>28.0</v>
      </c>
      <c r="I959" s="4">
        <v>45246.0</v>
      </c>
      <c r="J959" s="5" t="s">
        <v>1913</v>
      </c>
      <c r="K959" s="13" t="s">
        <v>1914</v>
      </c>
    </row>
    <row r="960">
      <c r="A960" s="7">
        <v>959.0</v>
      </c>
      <c r="B960" s="8">
        <v>1.0</v>
      </c>
      <c r="C960" s="8">
        <v>7.0</v>
      </c>
      <c r="D960" s="8">
        <v>10.0</v>
      </c>
      <c r="E960" s="8">
        <v>14.0</v>
      </c>
      <c r="F960" s="8">
        <v>28.0</v>
      </c>
      <c r="G960" s="8">
        <v>29.0</v>
      </c>
      <c r="H960" s="9">
        <v>2.0</v>
      </c>
      <c r="I960" s="4">
        <v>45248.0</v>
      </c>
      <c r="J960" s="5" t="s">
        <v>1915</v>
      </c>
      <c r="K960" s="12" t="s">
        <v>1916</v>
      </c>
    </row>
    <row r="961">
      <c r="A961" s="7">
        <v>960.0</v>
      </c>
      <c r="B961" s="8">
        <v>3.0</v>
      </c>
      <c r="C961" s="8">
        <v>7.0</v>
      </c>
      <c r="D961" s="8">
        <v>16.0</v>
      </c>
      <c r="E961" s="8">
        <v>37.0</v>
      </c>
      <c r="F961" s="8">
        <v>39.0</v>
      </c>
      <c r="G961" s="8">
        <v>51.0</v>
      </c>
      <c r="H961" s="9">
        <v>9.0</v>
      </c>
      <c r="I961" s="4">
        <v>45251.0</v>
      </c>
      <c r="J961" s="5" t="s">
        <v>1917</v>
      </c>
      <c r="K961" s="11" t="s">
        <v>1918</v>
      </c>
    </row>
    <row r="962">
      <c r="A962" s="7">
        <v>961.0</v>
      </c>
      <c r="B962" s="8">
        <v>4.0</v>
      </c>
      <c r="C962" s="8">
        <v>6.0</v>
      </c>
      <c r="D962" s="8">
        <v>26.0</v>
      </c>
      <c r="E962" s="8">
        <v>33.0</v>
      </c>
      <c r="F962" s="8">
        <v>52.0</v>
      </c>
      <c r="G962" s="8">
        <v>55.0</v>
      </c>
      <c r="H962" s="9">
        <v>15.0</v>
      </c>
      <c r="I962" s="4">
        <v>45253.0</v>
      </c>
      <c r="J962" s="5" t="s">
        <v>1919</v>
      </c>
      <c r="K962" s="10" t="s">
        <v>1920</v>
      </c>
    </row>
    <row r="963">
      <c r="A963" s="7">
        <v>962.0</v>
      </c>
      <c r="B963" s="8">
        <v>7.0</v>
      </c>
      <c r="C963" s="8">
        <v>9.0</v>
      </c>
      <c r="D963" s="8">
        <v>10.0</v>
      </c>
      <c r="E963" s="8">
        <v>17.0</v>
      </c>
      <c r="F963" s="8">
        <v>25.0</v>
      </c>
      <c r="G963" s="8">
        <v>53.0</v>
      </c>
      <c r="H963" s="9">
        <v>49.0</v>
      </c>
      <c r="I963" s="4">
        <v>45255.0</v>
      </c>
      <c r="J963" s="5" t="s">
        <v>1921</v>
      </c>
      <c r="K963" s="11" t="s">
        <v>1922</v>
      </c>
    </row>
    <row r="964">
      <c r="A964" s="7">
        <v>963.0</v>
      </c>
      <c r="B964" s="8">
        <v>10.0</v>
      </c>
      <c r="C964" s="8">
        <v>24.0</v>
      </c>
      <c r="D964" s="8">
        <v>47.0</v>
      </c>
      <c r="E964" s="8">
        <v>48.0</v>
      </c>
      <c r="F964" s="8">
        <v>52.0</v>
      </c>
      <c r="G964" s="8">
        <v>55.0</v>
      </c>
      <c r="H964" s="9">
        <v>28.0</v>
      </c>
      <c r="I964" s="4">
        <v>45258.0</v>
      </c>
      <c r="J964" s="5" t="s">
        <v>1923</v>
      </c>
      <c r="K964" s="10" t="s">
        <v>1924</v>
      </c>
    </row>
    <row r="965">
      <c r="A965" s="7">
        <v>964.0</v>
      </c>
      <c r="B965" s="8">
        <v>9.0</v>
      </c>
      <c r="C965" s="8">
        <v>13.0</v>
      </c>
      <c r="D965" s="8">
        <v>21.0</v>
      </c>
      <c r="E965" s="8">
        <v>28.0</v>
      </c>
      <c r="F965" s="8">
        <v>50.0</v>
      </c>
      <c r="G965" s="8">
        <v>54.0</v>
      </c>
      <c r="H965" s="9">
        <v>51.0</v>
      </c>
      <c r="I965" s="4">
        <v>45260.0</v>
      </c>
      <c r="J965" s="5" t="s">
        <v>1925</v>
      </c>
      <c r="K965" s="11" t="s">
        <v>1926</v>
      </c>
    </row>
    <row r="966">
      <c r="A966" s="7">
        <v>965.0</v>
      </c>
      <c r="B966" s="8">
        <v>1.0</v>
      </c>
      <c r="C966" s="8">
        <v>10.0</v>
      </c>
      <c r="D966" s="8">
        <v>20.0</v>
      </c>
      <c r="E966" s="8">
        <v>37.0</v>
      </c>
      <c r="F966" s="8">
        <v>48.0</v>
      </c>
      <c r="G966" s="8">
        <v>51.0</v>
      </c>
      <c r="H966" s="9">
        <v>54.0</v>
      </c>
      <c r="I966" s="4">
        <v>45262.0</v>
      </c>
      <c r="J966" s="5" t="s">
        <v>1927</v>
      </c>
      <c r="K966" s="10" t="s">
        <v>1928</v>
      </c>
    </row>
    <row r="967">
      <c r="A967" s="7">
        <v>966.0</v>
      </c>
      <c r="B967" s="8">
        <v>2.0</v>
      </c>
      <c r="C967" s="8">
        <v>4.0</v>
      </c>
      <c r="D967" s="8">
        <v>19.0</v>
      </c>
      <c r="E967" s="8">
        <v>32.0</v>
      </c>
      <c r="F967" s="8">
        <v>35.0</v>
      </c>
      <c r="G967" s="8">
        <v>39.0</v>
      </c>
      <c r="H967" s="9">
        <v>49.0</v>
      </c>
      <c r="I967" s="4">
        <v>45265.0</v>
      </c>
      <c r="J967" s="5" t="s">
        <v>1929</v>
      </c>
      <c r="K967" s="11" t="s">
        <v>1930</v>
      </c>
    </row>
    <row r="968">
      <c r="A968" s="7">
        <v>967.0</v>
      </c>
      <c r="B968" s="8">
        <v>9.0</v>
      </c>
      <c r="C968" s="8">
        <v>13.0</v>
      </c>
      <c r="D968" s="8">
        <v>28.0</v>
      </c>
      <c r="E968" s="8">
        <v>33.0</v>
      </c>
      <c r="F968" s="8">
        <v>50.0</v>
      </c>
      <c r="G968" s="8">
        <v>53.0</v>
      </c>
      <c r="H968" s="9">
        <v>47.0</v>
      </c>
      <c r="I968" s="4">
        <v>45267.0</v>
      </c>
      <c r="J968" s="5" t="s">
        <v>1931</v>
      </c>
      <c r="K968" s="10" t="s">
        <v>1932</v>
      </c>
    </row>
    <row r="969">
      <c r="A969" s="7">
        <v>968.0</v>
      </c>
      <c r="B969" s="8">
        <v>6.0</v>
      </c>
      <c r="C969" s="8">
        <v>9.0</v>
      </c>
      <c r="D969" s="8">
        <v>26.0</v>
      </c>
      <c r="E969" s="8">
        <v>27.0</v>
      </c>
      <c r="F969" s="8">
        <v>34.0</v>
      </c>
      <c r="G969" s="8">
        <v>47.0</v>
      </c>
      <c r="H969" s="9">
        <v>41.0</v>
      </c>
      <c r="I969" s="4">
        <v>45269.0</v>
      </c>
      <c r="J969" s="5" t="s">
        <v>1933</v>
      </c>
      <c r="K969" s="11" t="s">
        <v>1934</v>
      </c>
    </row>
    <row r="970">
      <c r="A970" s="7">
        <v>969.0</v>
      </c>
      <c r="B970" s="8">
        <v>6.0</v>
      </c>
      <c r="C970" s="8">
        <v>7.0</v>
      </c>
      <c r="D970" s="8">
        <v>16.0</v>
      </c>
      <c r="E970" s="8">
        <v>21.0</v>
      </c>
      <c r="F970" s="8">
        <v>34.0</v>
      </c>
      <c r="G970" s="8">
        <v>50.0</v>
      </c>
      <c r="H970" s="9">
        <v>31.0</v>
      </c>
      <c r="I970" s="4">
        <v>45272.0</v>
      </c>
      <c r="J970" s="5" t="s">
        <v>1935</v>
      </c>
      <c r="K970" s="12" t="s">
        <v>1936</v>
      </c>
    </row>
    <row r="971">
      <c r="A971" s="7">
        <v>970.0</v>
      </c>
      <c r="B971" s="8">
        <v>1.0</v>
      </c>
      <c r="C971" s="8">
        <v>12.0</v>
      </c>
      <c r="D971" s="8">
        <v>23.0</v>
      </c>
      <c r="E971" s="8">
        <v>43.0</v>
      </c>
      <c r="F971" s="8">
        <v>48.0</v>
      </c>
      <c r="G971" s="8">
        <v>52.0</v>
      </c>
      <c r="H971" s="9">
        <v>30.0</v>
      </c>
      <c r="I971" s="4">
        <v>45274.0</v>
      </c>
      <c r="J971" s="5" t="s">
        <v>1937</v>
      </c>
      <c r="K971" s="11" t="s">
        <v>1938</v>
      </c>
    </row>
    <row r="972">
      <c r="A972" s="7">
        <v>971.0</v>
      </c>
      <c r="B972" s="8">
        <v>13.0</v>
      </c>
      <c r="C972" s="8">
        <v>15.0</v>
      </c>
      <c r="D972" s="8">
        <v>21.0</v>
      </c>
      <c r="E972" s="8">
        <v>26.0</v>
      </c>
      <c r="F972" s="8">
        <v>34.0</v>
      </c>
      <c r="G972" s="8">
        <v>35.0</v>
      </c>
      <c r="H972" s="9">
        <v>45.0</v>
      </c>
      <c r="I972" s="4">
        <v>45276.0</v>
      </c>
      <c r="J972" s="5" t="s">
        <v>1939</v>
      </c>
      <c r="K972" s="10" t="s">
        <v>1940</v>
      </c>
    </row>
    <row r="973">
      <c r="A973" s="7">
        <v>972.0</v>
      </c>
      <c r="B973" s="8">
        <v>11.0</v>
      </c>
      <c r="C973" s="8">
        <v>14.0</v>
      </c>
      <c r="D973" s="8">
        <v>15.0</v>
      </c>
      <c r="E973" s="8">
        <v>24.0</v>
      </c>
      <c r="F973" s="8">
        <v>34.0</v>
      </c>
      <c r="G973" s="8">
        <v>53.0</v>
      </c>
      <c r="H973" s="9">
        <v>18.0</v>
      </c>
      <c r="I973" s="4">
        <v>45279.0</v>
      </c>
      <c r="J973" s="5" t="s">
        <v>1941</v>
      </c>
      <c r="K973" s="11" t="s">
        <v>1942</v>
      </c>
    </row>
    <row r="974">
      <c r="A974" s="7">
        <v>973.0</v>
      </c>
      <c r="B974" s="8">
        <v>9.0</v>
      </c>
      <c r="C974" s="8">
        <v>31.0</v>
      </c>
      <c r="D974" s="8">
        <v>39.0</v>
      </c>
      <c r="E974" s="8">
        <v>41.0</v>
      </c>
      <c r="F974" s="8">
        <v>47.0</v>
      </c>
      <c r="G974" s="8">
        <v>48.0</v>
      </c>
      <c r="H974" s="9">
        <v>3.0</v>
      </c>
      <c r="I974" s="4">
        <v>45281.0</v>
      </c>
      <c r="J974" s="5" t="s">
        <v>1943</v>
      </c>
      <c r="K974" s="10" t="s">
        <v>1944</v>
      </c>
    </row>
    <row r="975">
      <c r="A975" s="7">
        <v>974.0</v>
      </c>
      <c r="B975" s="8">
        <v>22.0</v>
      </c>
      <c r="C975" s="8">
        <v>32.0</v>
      </c>
      <c r="D975" s="8">
        <v>39.0</v>
      </c>
      <c r="E975" s="8">
        <v>46.0</v>
      </c>
      <c r="F975" s="8">
        <v>48.0</v>
      </c>
      <c r="G975" s="8">
        <v>49.0</v>
      </c>
      <c r="H975" s="9">
        <v>43.0</v>
      </c>
      <c r="I975" s="4">
        <v>45283.0</v>
      </c>
      <c r="J975" s="5" t="s">
        <v>1945</v>
      </c>
      <c r="K975" s="11" t="s">
        <v>1946</v>
      </c>
    </row>
    <row r="976">
      <c r="A976" s="7">
        <v>975.0</v>
      </c>
      <c r="B976" s="8">
        <v>10.0</v>
      </c>
      <c r="C976" s="8">
        <v>14.0</v>
      </c>
      <c r="D976" s="8">
        <v>17.0</v>
      </c>
      <c r="E976" s="8">
        <v>27.0</v>
      </c>
      <c r="F976" s="8">
        <v>29.0</v>
      </c>
      <c r="G976" s="8">
        <v>40.0</v>
      </c>
      <c r="H976" s="9">
        <v>25.0</v>
      </c>
      <c r="I976" s="4">
        <v>45286.0</v>
      </c>
      <c r="J976" s="5" t="s">
        <v>1947</v>
      </c>
      <c r="K976" s="10" t="s">
        <v>1948</v>
      </c>
    </row>
    <row r="977">
      <c r="A977" s="7">
        <v>976.0</v>
      </c>
      <c r="B977" s="8">
        <v>20.0</v>
      </c>
      <c r="C977" s="8">
        <v>28.0</v>
      </c>
      <c r="D977" s="8">
        <v>30.0</v>
      </c>
      <c r="E977" s="8">
        <v>40.0</v>
      </c>
      <c r="F977" s="8">
        <v>45.0</v>
      </c>
      <c r="G977" s="8">
        <v>52.0</v>
      </c>
      <c r="H977" s="9">
        <v>32.0</v>
      </c>
      <c r="I977" s="4">
        <v>45288.0</v>
      </c>
      <c r="J977" s="5" t="s">
        <v>1949</v>
      </c>
      <c r="K977" s="11" t="s">
        <v>1950</v>
      </c>
    </row>
    <row r="978">
      <c r="A978" s="7">
        <v>977.0</v>
      </c>
      <c r="B978" s="8">
        <v>9.0</v>
      </c>
      <c r="C978" s="8">
        <v>17.0</v>
      </c>
      <c r="D978" s="8">
        <v>29.0</v>
      </c>
      <c r="E978" s="8">
        <v>32.0</v>
      </c>
      <c r="F978" s="8">
        <v>38.0</v>
      </c>
      <c r="G978" s="8">
        <v>52.0</v>
      </c>
      <c r="H978" s="9">
        <v>2.0</v>
      </c>
      <c r="I978" s="4">
        <v>45290.0</v>
      </c>
      <c r="J978" s="5" t="s">
        <v>1951</v>
      </c>
      <c r="K978" s="12" t="s">
        <v>1952</v>
      </c>
    </row>
    <row r="979">
      <c r="A979" s="7">
        <v>978.0</v>
      </c>
      <c r="B979" s="8">
        <v>2.0</v>
      </c>
      <c r="C979" s="8">
        <v>5.0</v>
      </c>
      <c r="D979" s="8">
        <v>18.0</v>
      </c>
      <c r="E979" s="8">
        <v>31.0</v>
      </c>
      <c r="F979" s="8">
        <v>37.0</v>
      </c>
      <c r="G979" s="8">
        <v>45.0</v>
      </c>
      <c r="H979" s="9">
        <v>20.0</v>
      </c>
      <c r="I979" s="4">
        <v>45293.0</v>
      </c>
      <c r="J979" s="5" t="s">
        <v>1953</v>
      </c>
      <c r="K979" s="13" t="s">
        <v>1954</v>
      </c>
    </row>
    <row r="980">
      <c r="A980" s="7">
        <v>979.0</v>
      </c>
      <c r="B980" s="8">
        <v>7.0</v>
      </c>
      <c r="C980" s="8">
        <v>34.0</v>
      </c>
      <c r="D980" s="8">
        <v>37.0</v>
      </c>
      <c r="E980" s="8">
        <v>43.0</v>
      </c>
      <c r="F980" s="8">
        <v>52.0</v>
      </c>
      <c r="G980" s="8">
        <v>54.0</v>
      </c>
      <c r="H980" s="9">
        <v>28.0</v>
      </c>
      <c r="I980" s="4">
        <v>45295.0</v>
      </c>
      <c r="J980" s="5" t="s">
        <v>1955</v>
      </c>
      <c r="K980" s="10" t="s">
        <v>1956</v>
      </c>
    </row>
    <row r="981">
      <c r="A981" s="7">
        <v>980.0</v>
      </c>
      <c r="B981" s="8">
        <v>15.0</v>
      </c>
      <c r="C981" s="8">
        <v>17.0</v>
      </c>
      <c r="D981" s="8">
        <v>21.0</v>
      </c>
      <c r="E981" s="8">
        <v>24.0</v>
      </c>
      <c r="F981" s="8">
        <v>34.0</v>
      </c>
      <c r="G981" s="8">
        <v>46.0</v>
      </c>
      <c r="H981" s="9">
        <v>11.0</v>
      </c>
      <c r="I981" s="4">
        <v>45297.0</v>
      </c>
      <c r="J981" s="5" t="s">
        <v>1957</v>
      </c>
      <c r="K981" s="11" t="s">
        <v>1958</v>
      </c>
    </row>
    <row r="982">
      <c r="A982" s="7">
        <v>981.0</v>
      </c>
      <c r="B982" s="8">
        <v>16.0</v>
      </c>
      <c r="C982" s="8">
        <v>32.0</v>
      </c>
      <c r="D982" s="8">
        <v>45.0</v>
      </c>
      <c r="E982" s="8">
        <v>50.0</v>
      </c>
      <c r="F982" s="8">
        <v>52.0</v>
      </c>
      <c r="G982" s="8">
        <v>53.0</v>
      </c>
      <c r="H982" s="9">
        <v>54.0</v>
      </c>
      <c r="I982" s="4">
        <v>45300.0</v>
      </c>
      <c r="J982" s="5" t="s">
        <v>1959</v>
      </c>
      <c r="K982" s="10" t="s">
        <v>1960</v>
      </c>
    </row>
    <row r="983">
      <c r="A983" s="7">
        <v>982.0</v>
      </c>
      <c r="B983" s="8">
        <v>2.0</v>
      </c>
      <c r="C983" s="8">
        <v>23.0</v>
      </c>
      <c r="D983" s="8">
        <v>32.0</v>
      </c>
      <c r="E983" s="8">
        <v>44.0</v>
      </c>
      <c r="F983" s="8">
        <v>51.0</v>
      </c>
      <c r="G983" s="8">
        <v>52.0</v>
      </c>
      <c r="H983" s="9">
        <v>28.0</v>
      </c>
      <c r="I983" s="4">
        <v>45302.0</v>
      </c>
      <c r="J983" s="5" t="s">
        <v>1961</v>
      </c>
      <c r="K983" s="13" t="s">
        <v>1962</v>
      </c>
    </row>
    <row r="984">
      <c r="A984" s="7">
        <v>983.0</v>
      </c>
      <c r="B984" s="8">
        <v>1.0</v>
      </c>
      <c r="C984" s="8">
        <v>5.0</v>
      </c>
      <c r="D984" s="8">
        <v>7.0</v>
      </c>
      <c r="E984" s="8">
        <v>23.0</v>
      </c>
      <c r="F984" s="8">
        <v>35.0</v>
      </c>
      <c r="G984" s="8">
        <v>42.0</v>
      </c>
      <c r="H984" s="9">
        <v>21.0</v>
      </c>
      <c r="I984" s="4">
        <v>45304.0</v>
      </c>
      <c r="J984" s="5" t="s">
        <v>1963</v>
      </c>
      <c r="K984" s="12" t="s">
        <v>1964</v>
      </c>
    </row>
    <row r="985">
      <c r="A985" s="7">
        <v>984.0</v>
      </c>
      <c r="B985" s="8">
        <v>9.0</v>
      </c>
      <c r="C985" s="8">
        <v>14.0</v>
      </c>
      <c r="D985" s="8">
        <v>18.0</v>
      </c>
      <c r="E985" s="8">
        <v>20.0</v>
      </c>
      <c r="F985" s="8">
        <v>27.0</v>
      </c>
      <c r="G985" s="8">
        <v>43.0</v>
      </c>
      <c r="H985" s="9">
        <v>42.0</v>
      </c>
      <c r="I985" s="4">
        <v>45307.0</v>
      </c>
      <c r="J985" s="5" t="s">
        <v>1965</v>
      </c>
      <c r="K985" s="13" t="s">
        <v>1966</v>
      </c>
    </row>
    <row r="986">
      <c r="A986" s="7">
        <v>985.0</v>
      </c>
      <c r="B986" s="8">
        <v>12.0</v>
      </c>
      <c r="C986" s="8">
        <v>20.0</v>
      </c>
      <c r="D986" s="8">
        <v>33.0</v>
      </c>
      <c r="E986" s="8">
        <v>38.0</v>
      </c>
      <c r="F986" s="8">
        <v>40.0</v>
      </c>
      <c r="G986" s="8">
        <v>52.0</v>
      </c>
      <c r="H986" s="9">
        <v>35.0</v>
      </c>
      <c r="I986" s="4">
        <v>45309.0</v>
      </c>
      <c r="J986" s="5" t="s">
        <v>1967</v>
      </c>
      <c r="K986" s="10" t="s">
        <v>1968</v>
      </c>
    </row>
    <row r="987">
      <c r="A987" s="7">
        <v>986.0</v>
      </c>
      <c r="B987" s="8">
        <v>6.0</v>
      </c>
      <c r="C987" s="8">
        <v>25.0</v>
      </c>
      <c r="D987" s="8">
        <v>29.0</v>
      </c>
      <c r="E987" s="8">
        <v>34.0</v>
      </c>
      <c r="F987" s="8">
        <v>49.0</v>
      </c>
      <c r="G987" s="8">
        <v>54.0</v>
      </c>
      <c r="H987" s="9">
        <v>38.0</v>
      </c>
      <c r="I987" s="4">
        <v>45311.0</v>
      </c>
      <c r="J987" s="5" t="s">
        <v>1969</v>
      </c>
      <c r="K987" s="13" t="s">
        <v>1970</v>
      </c>
    </row>
    <row r="988">
      <c r="A988" s="7">
        <v>987.0</v>
      </c>
      <c r="B988" s="8">
        <v>13.0</v>
      </c>
      <c r="C988" s="8">
        <v>27.0</v>
      </c>
      <c r="D988" s="8">
        <v>32.0</v>
      </c>
      <c r="E988" s="8">
        <v>48.0</v>
      </c>
      <c r="F988" s="8">
        <v>49.0</v>
      </c>
      <c r="G988" s="8">
        <v>51.0</v>
      </c>
      <c r="H988" s="9">
        <v>23.0</v>
      </c>
      <c r="I988" s="4">
        <v>45314.0</v>
      </c>
      <c r="J988" s="5" t="s">
        <v>1971</v>
      </c>
      <c r="K988" s="10" t="s">
        <v>1972</v>
      </c>
    </row>
    <row r="989">
      <c r="A989" s="7">
        <v>988.0</v>
      </c>
      <c r="B989" s="8">
        <v>13.0</v>
      </c>
      <c r="C989" s="8">
        <v>17.0</v>
      </c>
      <c r="D989" s="8">
        <v>35.0</v>
      </c>
      <c r="E989" s="8">
        <v>38.0</v>
      </c>
      <c r="F989" s="8">
        <v>42.0</v>
      </c>
      <c r="G989" s="8">
        <v>48.0</v>
      </c>
      <c r="H989" s="9">
        <v>7.0</v>
      </c>
      <c r="I989" s="4">
        <v>45316.0</v>
      </c>
      <c r="J989" s="5" t="s">
        <v>1973</v>
      </c>
      <c r="K989" s="13" t="s">
        <v>1974</v>
      </c>
    </row>
    <row r="990">
      <c r="A990" s="7">
        <v>989.0</v>
      </c>
      <c r="B990" s="8">
        <v>6.0</v>
      </c>
      <c r="C990" s="8">
        <v>12.0</v>
      </c>
      <c r="D990" s="8">
        <v>38.0</v>
      </c>
      <c r="E990" s="8">
        <v>41.0</v>
      </c>
      <c r="F990" s="8">
        <v>46.0</v>
      </c>
      <c r="G990" s="8">
        <v>55.0</v>
      </c>
      <c r="H990" s="9">
        <v>13.0</v>
      </c>
      <c r="I990" s="4">
        <v>45318.0</v>
      </c>
      <c r="J990" s="5" t="s">
        <v>1975</v>
      </c>
      <c r="K990" s="10" t="s">
        <v>1976</v>
      </c>
    </row>
    <row r="991">
      <c r="A991" s="7">
        <v>990.0</v>
      </c>
      <c r="B991" s="8">
        <v>3.0</v>
      </c>
      <c r="C991" s="8">
        <v>10.0</v>
      </c>
      <c r="D991" s="8">
        <v>13.0</v>
      </c>
      <c r="E991" s="8">
        <v>40.0</v>
      </c>
      <c r="F991" s="8">
        <v>49.0</v>
      </c>
      <c r="G991" s="8">
        <v>52.0</v>
      </c>
      <c r="H991" s="9">
        <v>9.0</v>
      </c>
      <c r="I991" s="4">
        <v>45321.0</v>
      </c>
      <c r="J991" s="5" t="s">
        <v>1977</v>
      </c>
      <c r="K991" s="11" t="s">
        <v>1978</v>
      </c>
    </row>
    <row r="992">
      <c r="A992" s="7">
        <v>991.0</v>
      </c>
      <c r="B992" s="8">
        <v>2.0</v>
      </c>
      <c r="C992" s="8">
        <v>7.0</v>
      </c>
      <c r="D992" s="8">
        <v>10.0</v>
      </c>
      <c r="E992" s="8">
        <v>22.0</v>
      </c>
      <c r="F992" s="8">
        <v>32.0</v>
      </c>
      <c r="G992" s="8">
        <v>40.0</v>
      </c>
      <c r="H992" s="9">
        <v>39.0</v>
      </c>
      <c r="I992" s="4">
        <v>45323.0</v>
      </c>
      <c r="J992" s="5" t="s">
        <v>1979</v>
      </c>
      <c r="K992" s="10" t="s">
        <v>1980</v>
      </c>
    </row>
    <row r="993">
      <c r="A993" s="7">
        <v>992.0</v>
      </c>
      <c r="B993" s="8">
        <v>4.0</v>
      </c>
      <c r="C993" s="8">
        <v>6.0</v>
      </c>
      <c r="D993" s="8">
        <v>7.0</v>
      </c>
      <c r="E993" s="8">
        <v>13.0</v>
      </c>
      <c r="F993" s="8">
        <v>18.0</v>
      </c>
      <c r="G993" s="8">
        <v>26.0</v>
      </c>
      <c r="H993" s="9">
        <v>49.0</v>
      </c>
      <c r="I993" s="4">
        <v>45325.0</v>
      </c>
      <c r="J993" s="5" t="s">
        <v>1981</v>
      </c>
      <c r="K993" s="13" t="s">
        <v>1982</v>
      </c>
    </row>
    <row r="994">
      <c r="A994" s="7">
        <v>993.0</v>
      </c>
      <c r="B994" s="8">
        <v>8.0</v>
      </c>
      <c r="C994" s="8">
        <v>19.0</v>
      </c>
      <c r="D994" s="8">
        <v>27.0</v>
      </c>
      <c r="E994" s="8">
        <v>34.0</v>
      </c>
      <c r="F994" s="8">
        <v>46.0</v>
      </c>
      <c r="G994" s="8">
        <v>51.0</v>
      </c>
      <c r="H994" s="9">
        <v>24.0</v>
      </c>
      <c r="I994" s="4">
        <v>45328.0</v>
      </c>
      <c r="J994" s="5" t="s">
        <v>1983</v>
      </c>
      <c r="K994" s="10" t="s">
        <v>1984</v>
      </c>
    </row>
    <row r="995">
      <c r="A995" s="7">
        <v>994.0</v>
      </c>
      <c r="B995" s="8">
        <v>22.0</v>
      </c>
      <c r="C995" s="8">
        <v>31.0</v>
      </c>
      <c r="D995" s="8">
        <v>35.0</v>
      </c>
      <c r="E995" s="8">
        <v>36.0</v>
      </c>
      <c r="F995" s="8">
        <v>38.0</v>
      </c>
      <c r="G995" s="8">
        <v>42.0</v>
      </c>
      <c r="H995" s="9">
        <v>11.0</v>
      </c>
      <c r="I995" s="4">
        <v>45330.0</v>
      </c>
      <c r="J995" s="5" t="s">
        <v>1985</v>
      </c>
      <c r="K995" s="11" t="s">
        <v>1986</v>
      </c>
    </row>
    <row r="996">
      <c r="A996" s="7">
        <v>995.0</v>
      </c>
      <c r="B996" s="8">
        <v>8.0</v>
      </c>
      <c r="C996" s="8">
        <v>17.0</v>
      </c>
      <c r="D996" s="8">
        <v>22.0</v>
      </c>
      <c r="E996" s="8">
        <v>31.0</v>
      </c>
      <c r="F996" s="8">
        <v>34.0</v>
      </c>
      <c r="G996" s="8">
        <v>49.0</v>
      </c>
      <c r="H996" s="9">
        <v>18.0</v>
      </c>
      <c r="I996" s="4">
        <v>45335.0</v>
      </c>
      <c r="J996" s="5" t="s">
        <v>1987</v>
      </c>
      <c r="K996" s="10" t="s">
        <v>1988</v>
      </c>
    </row>
    <row r="997">
      <c r="A997" s="7">
        <v>996.0</v>
      </c>
      <c r="B997" s="8">
        <v>3.0</v>
      </c>
      <c r="C997" s="8">
        <v>7.0</v>
      </c>
      <c r="D997" s="8">
        <v>8.0</v>
      </c>
      <c r="E997" s="8">
        <v>18.0</v>
      </c>
      <c r="F997" s="8">
        <v>21.0</v>
      </c>
      <c r="G997" s="8">
        <v>26.0</v>
      </c>
      <c r="H997" s="9">
        <v>19.0</v>
      </c>
      <c r="I997" s="4">
        <v>45337.0</v>
      </c>
      <c r="J997" s="5" t="s">
        <v>1989</v>
      </c>
      <c r="K997" s="11" t="s">
        <v>1990</v>
      </c>
    </row>
    <row r="998">
      <c r="A998" s="7">
        <v>997.0</v>
      </c>
      <c r="B998" s="8">
        <v>8.0</v>
      </c>
      <c r="C998" s="8">
        <v>12.0</v>
      </c>
      <c r="D998" s="8">
        <v>17.0</v>
      </c>
      <c r="E998" s="8">
        <v>27.0</v>
      </c>
      <c r="F998" s="8">
        <v>38.0</v>
      </c>
      <c r="G998" s="8">
        <v>55.0</v>
      </c>
      <c r="H998" s="9">
        <v>47.0</v>
      </c>
      <c r="I998" s="4">
        <v>45339.0</v>
      </c>
      <c r="J998" s="5" t="s">
        <v>1991</v>
      </c>
      <c r="K998" s="12" t="s">
        <v>1992</v>
      </c>
    </row>
    <row r="999">
      <c r="A999" s="7">
        <v>998.0</v>
      </c>
      <c r="B999" s="8">
        <v>34.0</v>
      </c>
      <c r="C999" s="8">
        <v>46.0</v>
      </c>
      <c r="D999" s="8">
        <v>50.0</v>
      </c>
      <c r="E999" s="8">
        <v>51.0</v>
      </c>
      <c r="F999" s="8">
        <v>52.0</v>
      </c>
      <c r="G999" s="8">
        <v>55.0</v>
      </c>
      <c r="H999" s="9">
        <v>5.0</v>
      </c>
      <c r="I999" s="4">
        <v>45342.0</v>
      </c>
      <c r="J999" s="5" t="s">
        <v>1993</v>
      </c>
      <c r="K999" s="13" t="s">
        <v>1994</v>
      </c>
    </row>
    <row r="1000">
      <c r="A1000" s="7">
        <v>999.0</v>
      </c>
      <c r="B1000" s="8">
        <v>8.0</v>
      </c>
      <c r="C1000" s="8">
        <v>19.0</v>
      </c>
      <c r="D1000" s="8">
        <v>24.0</v>
      </c>
      <c r="E1000" s="8">
        <v>31.0</v>
      </c>
      <c r="F1000" s="8">
        <v>35.0</v>
      </c>
      <c r="G1000" s="8">
        <v>55.0</v>
      </c>
      <c r="H1000" s="9">
        <v>1.0</v>
      </c>
      <c r="I1000" s="4">
        <v>45344.0</v>
      </c>
      <c r="J1000" s="5" t="s">
        <v>1995</v>
      </c>
      <c r="K1000" s="12" t="s">
        <v>1996</v>
      </c>
    </row>
    <row r="1001">
      <c r="A1001" s="7">
        <v>1000.0</v>
      </c>
      <c r="B1001" s="8">
        <v>1.0</v>
      </c>
      <c r="C1001" s="8">
        <v>3.0</v>
      </c>
      <c r="D1001" s="8">
        <v>22.0</v>
      </c>
      <c r="E1001" s="8">
        <v>27.0</v>
      </c>
      <c r="F1001" s="8">
        <v>38.0</v>
      </c>
      <c r="G1001" s="8">
        <v>40.0</v>
      </c>
      <c r="H1001" s="9">
        <v>26.0</v>
      </c>
      <c r="I1001" s="4">
        <v>45346.0</v>
      </c>
      <c r="J1001" s="5" t="s">
        <v>1997</v>
      </c>
      <c r="K1001" s="13" t="s">
        <v>1998</v>
      </c>
    </row>
    <row r="1002">
      <c r="A1002" s="7">
        <v>1001.0</v>
      </c>
      <c r="B1002" s="8">
        <v>1.0</v>
      </c>
      <c r="C1002" s="8">
        <v>4.0</v>
      </c>
      <c r="D1002" s="8">
        <v>6.0</v>
      </c>
      <c r="E1002" s="8">
        <v>8.0</v>
      </c>
      <c r="F1002" s="8">
        <v>24.0</v>
      </c>
      <c r="G1002" s="8">
        <v>35.0</v>
      </c>
      <c r="H1002" s="9">
        <v>53.0</v>
      </c>
      <c r="I1002" s="4">
        <v>45349.0</v>
      </c>
      <c r="J1002" s="5" t="s">
        <v>1999</v>
      </c>
      <c r="K1002" s="10" t="s">
        <v>2000</v>
      </c>
    </row>
    <row r="1003">
      <c r="A1003" s="7">
        <v>1002.0</v>
      </c>
      <c r="B1003" s="8">
        <v>4.0</v>
      </c>
      <c r="C1003" s="8">
        <v>11.0</v>
      </c>
      <c r="D1003" s="8">
        <v>20.0</v>
      </c>
      <c r="E1003" s="8">
        <v>38.0</v>
      </c>
      <c r="F1003" s="8">
        <v>52.0</v>
      </c>
      <c r="G1003" s="8">
        <v>53.0</v>
      </c>
      <c r="H1003" s="9">
        <v>33.0</v>
      </c>
      <c r="I1003" s="4">
        <v>45351.0</v>
      </c>
      <c r="J1003" s="5" t="s">
        <v>2001</v>
      </c>
      <c r="K1003" s="11" t="s">
        <v>2002</v>
      </c>
    </row>
    <row r="1004">
      <c r="A1004" s="7">
        <v>1003.0</v>
      </c>
      <c r="B1004" s="8">
        <v>1.0</v>
      </c>
      <c r="C1004" s="8">
        <v>19.0</v>
      </c>
      <c r="D1004" s="8">
        <v>21.0</v>
      </c>
      <c r="E1004" s="8">
        <v>31.0</v>
      </c>
      <c r="F1004" s="8">
        <v>50.0</v>
      </c>
      <c r="G1004" s="8">
        <v>55.0</v>
      </c>
      <c r="H1004" s="9">
        <v>37.0</v>
      </c>
      <c r="I1004" s="4">
        <v>45353.0</v>
      </c>
      <c r="J1004" s="5" t="s">
        <v>2003</v>
      </c>
      <c r="K1004" s="10" t="s">
        <v>2004</v>
      </c>
    </row>
    <row r="1005">
      <c r="A1005" s="7">
        <v>1004.0</v>
      </c>
      <c r="B1005" s="8">
        <v>12.0</v>
      </c>
      <c r="C1005" s="8">
        <v>19.0</v>
      </c>
      <c r="D1005" s="8">
        <v>21.0</v>
      </c>
      <c r="E1005" s="8">
        <v>23.0</v>
      </c>
      <c r="F1005" s="8">
        <v>28.0</v>
      </c>
      <c r="G1005" s="8">
        <v>54.0</v>
      </c>
      <c r="H1005" s="9">
        <v>31.0</v>
      </c>
      <c r="I1005" s="4">
        <v>45356.0</v>
      </c>
      <c r="J1005" s="5" t="s">
        <v>2005</v>
      </c>
      <c r="K1005" s="13" t="s">
        <v>2006</v>
      </c>
    </row>
    <row r="1006">
      <c r="A1006" s="7">
        <v>1005.0</v>
      </c>
      <c r="B1006" s="8">
        <v>13.0</v>
      </c>
      <c r="C1006" s="8">
        <v>20.0</v>
      </c>
      <c r="D1006" s="8">
        <v>33.0</v>
      </c>
      <c r="E1006" s="8">
        <v>47.0</v>
      </c>
      <c r="F1006" s="8">
        <v>53.0</v>
      </c>
      <c r="G1006" s="8">
        <v>54.0</v>
      </c>
      <c r="H1006" s="9">
        <v>19.0</v>
      </c>
      <c r="I1006" s="4">
        <v>45358.0</v>
      </c>
      <c r="J1006" s="5" t="s">
        <v>2007</v>
      </c>
      <c r="K1006" s="10" t="s">
        <v>2008</v>
      </c>
    </row>
    <row r="1007">
      <c r="A1007" s="7">
        <v>1006.0</v>
      </c>
      <c r="B1007" s="8">
        <v>11.0</v>
      </c>
      <c r="C1007" s="8">
        <v>13.0</v>
      </c>
      <c r="D1007" s="8">
        <v>22.0</v>
      </c>
      <c r="E1007" s="8">
        <v>36.0</v>
      </c>
      <c r="F1007" s="8">
        <v>46.0</v>
      </c>
      <c r="G1007" s="8">
        <v>49.0</v>
      </c>
      <c r="H1007" s="9">
        <v>37.0</v>
      </c>
      <c r="I1007" s="4">
        <v>45360.0</v>
      </c>
      <c r="J1007" s="5" t="s">
        <v>2009</v>
      </c>
      <c r="K1007" s="11" t="s">
        <v>2010</v>
      </c>
    </row>
    <row r="1008">
      <c r="A1008" s="7">
        <v>1007.0</v>
      </c>
      <c r="B1008" s="8">
        <v>11.0</v>
      </c>
      <c r="C1008" s="8">
        <v>14.0</v>
      </c>
      <c r="D1008" s="8">
        <v>18.0</v>
      </c>
      <c r="E1008" s="8">
        <v>20.0</v>
      </c>
      <c r="F1008" s="8">
        <v>22.0</v>
      </c>
      <c r="G1008" s="8">
        <v>43.0</v>
      </c>
      <c r="H1008" s="9">
        <v>16.0</v>
      </c>
      <c r="I1008" s="4">
        <v>45363.0</v>
      </c>
      <c r="J1008" s="5" t="s">
        <v>2011</v>
      </c>
      <c r="K1008" s="10" t="s">
        <v>2012</v>
      </c>
    </row>
    <row r="1009">
      <c r="A1009" s="7">
        <v>1008.0</v>
      </c>
      <c r="B1009" s="8">
        <v>21.0</v>
      </c>
      <c r="C1009" s="8">
        <v>25.0</v>
      </c>
      <c r="D1009" s="8">
        <v>26.0</v>
      </c>
      <c r="E1009" s="8">
        <v>29.0</v>
      </c>
      <c r="F1009" s="8">
        <v>41.0</v>
      </c>
      <c r="G1009" s="8">
        <v>51.0</v>
      </c>
      <c r="H1009" s="9">
        <v>39.0</v>
      </c>
      <c r="I1009" s="4">
        <v>45365.0</v>
      </c>
      <c r="J1009" s="5" t="s">
        <v>2013</v>
      </c>
      <c r="K1009" s="11" t="s">
        <v>2014</v>
      </c>
    </row>
    <row r="1010">
      <c r="A1010" s="7">
        <v>1009.0</v>
      </c>
      <c r="B1010" s="8">
        <v>8.0</v>
      </c>
      <c r="C1010" s="8">
        <v>36.0</v>
      </c>
      <c r="D1010" s="8">
        <v>42.0</v>
      </c>
      <c r="E1010" s="8">
        <v>43.0</v>
      </c>
      <c r="F1010" s="8">
        <v>44.0</v>
      </c>
      <c r="G1010" s="8">
        <v>55.0</v>
      </c>
      <c r="H1010" s="9">
        <v>54.0</v>
      </c>
      <c r="I1010" s="4">
        <v>45367.0</v>
      </c>
      <c r="J1010" s="5" t="s">
        <v>2015</v>
      </c>
      <c r="K1010" s="12" t="s">
        <v>2016</v>
      </c>
    </row>
    <row r="1011">
      <c r="A1011" s="7">
        <v>1010.0</v>
      </c>
      <c r="B1011" s="8">
        <v>6.0</v>
      </c>
      <c r="C1011" s="8">
        <v>25.0</v>
      </c>
      <c r="D1011" s="8">
        <v>39.0</v>
      </c>
      <c r="E1011" s="8">
        <v>45.0</v>
      </c>
      <c r="F1011" s="8">
        <v>46.0</v>
      </c>
      <c r="G1011" s="8">
        <v>55.0</v>
      </c>
      <c r="H1011" s="9">
        <v>26.0</v>
      </c>
      <c r="I1011" s="4">
        <v>45370.0</v>
      </c>
      <c r="J1011" s="5" t="s">
        <v>2017</v>
      </c>
      <c r="K1011" s="13" t="s">
        <v>2018</v>
      </c>
    </row>
    <row r="1012">
      <c r="A1012" s="7">
        <v>1011.0</v>
      </c>
      <c r="B1012" s="8">
        <v>12.0</v>
      </c>
      <c r="C1012" s="8">
        <v>13.0</v>
      </c>
      <c r="D1012" s="8">
        <v>41.0</v>
      </c>
      <c r="E1012" s="8">
        <v>48.0</v>
      </c>
      <c r="F1012" s="8">
        <v>49.0</v>
      </c>
      <c r="G1012" s="8">
        <v>53.0</v>
      </c>
      <c r="H1012" s="9">
        <v>43.0</v>
      </c>
      <c r="I1012" s="4">
        <v>45372.0</v>
      </c>
      <c r="J1012" s="5" t="s">
        <v>2019</v>
      </c>
      <c r="K1012" s="12" t="s">
        <v>2020</v>
      </c>
    </row>
    <row r="1013">
      <c r="A1013" s="7">
        <v>1012.0</v>
      </c>
      <c r="B1013" s="8">
        <v>3.0</v>
      </c>
      <c r="C1013" s="8">
        <v>10.0</v>
      </c>
      <c r="D1013" s="8">
        <v>13.0</v>
      </c>
      <c r="E1013" s="8">
        <v>30.0</v>
      </c>
      <c r="F1013" s="8">
        <v>40.0</v>
      </c>
      <c r="G1013" s="8">
        <v>52.0</v>
      </c>
      <c r="H1013" s="9">
        <v>4.0</v>
      </c>
      <c r="I1013" s="4">
        <v>45374.0</v>
      </c>
      <c r="J1013" s="5" t="s">
        <v>2021</v>
      </c>
      <c r="K1013" s="13" t="s">
        <v>2022</v>
      </c>
    </row>
    <row r="1014">
      <c r="A1014" s="7">
        <v>1013.0</v>
      </c>
      <c r="B1014" s="8">
        <v>1.0</v>
      </c>
      <c r="C1014" s="8">
        <v>8.0</v>
      </c>
      <c r="D1014" s="8">
        <v>13.0</v>
      </c>
      <c r="E1014" s="8">
        <v>16.0</v>
      </c>
      <c r="F1014" s="8">
        <v>38.0</v>
      </c>
      <c r="G1014" s="8">
        <v>44.0</v>
      </c>
      <c r="H1014" s="9">
        <v>47.0</v>
      </c>
      <c r="I1014" s="4">
        <v>45377.0</v>
      </c>
      <c r="J1014" s="5" t="s">
        <v>2023</v>
      </c>
      <c r="K1014" s="12" t="s">
        <v>2024</v>
      </c>
    </row>
    <row r="1015">
      <c r="A1015" s="7">
        <v>1014.0</v>
      </c>
      <c r="B1015" s="8">
        <v>1.0</v>
      </c>
      <c r="C1015" s="8">
        <v>7.0</v>
      </c>
      <c r="D1015" s="8">
        <v>18.0</v>
      </c>
      <c r="E1015" s="8">
        <v>26.0</v>
      </c>
      <c r="F1015" s="8">
        <v>38.0</v>
      </c>
      <c r="G1015" s="8">
        <v>49.0</v>
      </c>
      <c r="H1015" s="9">
        <v>21.0</v>
      </c>
      <c r="I1015" s="4">
        <v>45379.0</v>
      </c>
      <c r="J1015" s="5" t="s">
        <v>167</v>
      </c>
      <c r="K1015" s="13" t="s">
        <v>2025</v>
      </c>
    </row>
    <row r="1016">
      <c r="A1016" s="7">
        <v>1015.0</v>
      </c>
      <c r="B1016" s="8">
        <v>14.0</v>
      </c>
      <c r="C1016" s="8">
        <v>17.0</v>
      </c>
      <c r="D1016" s="8">
        <v>27.0</v>
      </c>
      <c r="E1016" s="8">
        <v>38.0</v>
      </c>
      <c r="F1016" s="8">
        <v>54.0</v>
      </c>
      <c r="G1016" s="8">
        <v>55.0</v>
      </c>
      <c r="H1016" s="9">
        <v>23.0</v>
      </c>
      <c r="I1016" s="4">
        <v>45381.0</v>
      </c>
      <c r="J1016" s="5" t="s">
        <v>167</v>
      </c>
      <c r="K1016" s="12" t="s">
        <v>2026</v>
      </c>
    </row>
    <row r="1017">
      <c r="A1017" s="7">
        <v>1016.0</v>
      </c>
      <c r="B1017" s="8">
        <v>1.0</v>
      </c>
      <c r="C1017" s="8">
        <v>12.0</v>
      </c>
      <c r="D1017" s="8">
        <v>18.0</v>
      </c>
      <c r="E1017" s="8">
        <v>20.0</v>
      </c>
      <c r="F1017" s="8">
        <v>51.0</v>
      </c>
      <c r="G1017" s="8">
        <v>52.0</v>
      </c>
      <c r="H1017" s="9">
        <v>37.0</v>
      </c>
      <c r="I1017" s="4">
        <v>45384.0</v>
      </c>
      <c r="J1017" s="5" t="s">
        <v>2027</v>
      </c>
      <c r="K1017" s="11" t="s">
        <v>2028</v>
      </c>
    </row>
    <row r="1018">
      <c r="A1018" s="7">
        <v>1017.0</v>
      </c>
      <c r="B1018" s="8">
        <v>3.0</v>
      </c>
      <c r="C1018" s="8">
        <v>8.0</v>
      </c>
      <c r="D1018" s="8">
        <v>12.0</v>
      </c>
      <c r="E1018" s="8">
        <v>25.0</v>
      </c>
      <c r="F1018" s="8">
        <v>47.0</v>
      </c>
      <c r="G1018" s="8">
        <v>48.0</v>
      </c>
      <c r="H1018" s="9">
        <v>15.0</v>
      </c>
      <c r="I1018" s="4">
        <v>45386.0</v>
      </c>
      <c r="J1018" s="5" t="s">
        <v>2029</v>
      </c>
      <c r="K1018" s="10" t="s">
        <v>2030</v>
      </c>
    </row>
    <row r="1019">
      <c r="A1019" s="7">
        <v>1018.0</v>
      </c>
      <c r="B1019" s="8">
        <v>9.0</v>
      </c>
      <c r="C1019" s="8">
        <v>13.0</v>
      </c>
      <c r="D1019" s="8">
        <v>20.0</v>
      </c>
      <c r="E1019" s="8">
        <v>30.0</v>
      </c>
      <c r="F1019" s="8">
        <v>39.0</v>
      </c>
      <c r="G1019" s="8">
        <v>54.0</v>
      </c>
      <c r="H1019" s="9">
        <v>23.0</v>
      </c>
      <c r="I1019" s="4">
        <v>45388.0</v>
      </c>
      <c r="J1019" s="5" t="s">
        <v>167</v>
      </c>
      <c r="K1019" s="13" t="s">
        <v>2031</v>
      </c>
    </row>
    <row r="1020">
      <c r="A1020" s="7">
        <v>1019.0</v>
      </c>
      <c r="B1020" s="8">
        <v>4.0</v>
      </c>
      <c r="C1020" s="8">
        <v>12.0</v>
      </c>
      <c r="D1020" s="8">
        <v>27.0</v>
      </c>
      <c r="E1020" s="8">
        <v>44.0</v>
      </c>
      <c r="F1020" s="8">
        <v>46.0</v>
      </c>
      <c r="G1020" s="8">
        <v>51.0</v>
      </c>
      <c r="H1020" s="9">
        <v>22.0</v>
      </c>
      <c r="I1020" s="4">
        <v>45391.0</v>
      </c>
      <c r="J1020" s="5" t="s">
        <v>167</v>
      </c>
      <c r="K1020" s="12" t="s">
        <v>2032</v>
      </c>
    </row>
    <row r="1021">
      <c r="A1021" s="7">
        <v>1020.0</v>
      </c>
      <c r="B1021" s="8">
        <v>3.0</v>
      </c>
      <c r="C1021" s="8">
        <v>6.0</v>
      </c>
      <c r="D1021" s="8">
        <v>15.0</v>
      </c>
      <c r="E1021" s="8">
        <v>25.0</v>
      </c>
      <c r="F1021" s="8">
        <v>33.0</v>
      </c>
      <c r="G1021" s="8">
        <v>43.0</v>
      </c>
      <c r="H1021" s="9">
        <v>55.0</v>
      </c>
      <c r="I1021" s="4">
        <v>45393.0</v>
      </c>
      <c r="J1021" s="5" t="s">
        <v>2033</v>
      </c>
      <c r="K1021" s="13" t="s">
        <v>2034</v>
      </c>
    </row>
    <row r="1022">
      <c r="A1022" s="7">
        <v>1021.0</v>
      </c>
      <c r="B1022" s="8">
        <v>29.0</v>
      </c>
      <c r="C1022" s="8">
        <v>36.0</v>
      </c>
      <c r="D1022" s="8">
        <v>37.0</v>
      </c>
      <c r="E1022" s="8">
        <v>38.0</v>
      </c>
      <c r="F1022" s="8">
        <v>40.0</v>
      </c>
      <c r="G1022" s="8">
        <v>42.0</v>
      </c>
      <c r="H1022" s="9">
        <v>46.0</v>
      </c>
      <c r="I1022" s="4">
        <v>45395.0</v>
      </c>
      <c r="J1022" s="5" t="s">
        <v>2035</v>
      </c>
      <c r="K1022" s="12" t="s">
        <v>2036</v>
      </c>
    </row>
    <row r="1023">
      <c r="A1023" s="7">
        <v>1022.0</v>
      </c>
      <c r="B1023" s="8">
        <v>3.0</v>
      </c>
      <c r="C1023" s="8">
        <v>5.0</v>
      </c>
      <c r="D1023" s="8">
        <v>32.0</v>
      </c>
      <c r="E1023" s="8">
        <v>40.0</v>
      </c>
      <c r="F1023" s="8">
        <v>46.0</v>
      </c>
      <c r="G1023" s="8">
        <v>50.0</v>
      </c>
      <c r="H1023" s="9">
        <v>37.0</v>
      </c>
      <c r="I1023" s="4">
        <v>45398.0</v>
      </c>
      <c r="J1023" s="5" t="s">
        <v>2037</v>
      </c>
      <c r="K1023" s="11" t="s">
        <v>2038</v>
      </c>
    </row>
    <row r="1024">
      <c r="A1024" s="7">
        <v>1023.0</v>
      </c>
      <c r="B1024" s="8">
        <v>1.0</v>
      </c>
      <c r="C1024" s="8">
        <v>21.0</v>
      </c>
      <c r="D1024" s="8">
        <v>23.0</v>
      </c>
      <c r="E1024" s="8">
        <v>33.0</v>
      </c>
      <c r="F1024" s="8">
        <v>43.0</v>
      </c>
      <c r="G1024" s="8">
        <v>54.0</v>
      </c>
      <c r="H1024" s="9">
        <v>28.0</v>
      </c>
      <c r="I1024" s="4">
        <v>45400.0</v>
      </c>
      <c r="J1024" s="5" t="s">
        <v>2039</v>
      </c>
      <c r="K1024" s="12" t="s">
        <v>2040</v>
      </c>
    </row>
    <row r="1025">
      <c r="A1025" s="7">
        <v>1024.0</v>
      </c>
      <c r="B1025" s="8">
        <v>2.0</v>
      </c>
      <c r="C1025" s="8">
        <v>6.0</v>
      </c>
      <c r="D1025" s="8">
        <v>35.0</v>
      </c>
      <c r="E1025" s="8">
        <v>43.0</v>
      </c>
      <c r="F1025" s="8">
        <v>45.0</v>
      </c>
      <c r="G1025" s="8">
        <v>47.0</v>
      </c>
      <c r="H1025" s="9">
        <v>14.0</v>
      </c>
      <c r="I1025" s="4">
        <v>45402.0</v>
      </c>
      <c r="J1025" s="5" t="s">
        <v>2041</v>
      </c>
      <c r="K1025" s="11" t="s">
        <v>2042</v>
      </c>
    </row>
    <row r="1026">
      <c r="A1026" s="7">
        <v>1025.0</v>
      </c>
      <c r="B1026" s="8">
        <v>1.0</v>
      </c>
      <c r="C1026" s="8">
        <v>34.0</v>
      </c>
      <c r="D1026" s="8">
        <v>39.0</v>
      </c>
      <c r="E1026" s="8">
        <v>40.0</v>
      </c>
      <c r="F1026" s="8">
        <v>49.0</v>
      </c>
      <c r="G1026" s="8">
        <v>53.0</v>
      </c>
      <c r="H1026" s="9">
        <v>9.0</v>
      </c>
      <c r="I1026" s="4">
        <v>45405.0</v>
      </c>
      <c r="J1026" s="5" t="s">
        <v>2043</v>
      </c>
      <c r="K1026" s="10" t="s">
        <v>2044</v>
      </c>
    </row>
    <row r="1027">
      <c r="A1027" s="7">
        <v>1026.0</v>
      </c>
      <c r="B1027" s="8">
        <v>13.0</v>
      </c>
      <c r="C1027" s="8">
        <v>19.0</v>
      </c>
      <c r="D1027" s="8">
        <v>27.0</v>
      </c>
      <c r="E1027" s="8">
        <v>38.0</v>
      </c>
      <c r="F1027" s="8">
        <v>41.0</v>
      </c>
      <c r="G1027" s="8">
        <v>54.0</v>
      </c>
      <c r="H1027" s="9">
        <v>46.0</v>
      </c>
      <c r="I1027" s="4">
        <v>45407.0</v>
      </c>
      <c r="J1027" s="5" t="s">
        <v>2045</v>
      </c>
      <c r="K1027" s="11" t="s">
        <v>2046</v>
      </c>
    </row>
    <row r="1028">
      <c r="A1028" s="7">
        <v>1027.0</v>
      </c>
      <c r="B1028" s="8">
        <v>7.0</v>
      </c>
      <c r="C1028" s="8">
        <v>12.0</v>
      </c>
      <c r="D1028" s="8">
        <v>38.0</v>
      </c>
      <c r="E1028" s="8">
        <v>43.0</v>
      </c>
      <c r="F1028" s="8">
        <v>48.0</v>
      </c>
      <c r="G1028" s="8">
        <v>55.0</v>
      </c>
      <c r="H1028" s="9">
        <v>8.0</v>
      </c>
      <c r="I1028" s="4">
        <v>45409.0</v>
      </c>
      <c r="J1028" s="5" t="s">
        <v>2047</v>
      </c>
      <c r="K1028" s="10" t="s">
        <v>2048</v>
      </c>
    </row>
    <row r="1029">
      <c r="A1029" s="7">
        <v>1028.0</v>
      </c>
      <c r="B1029" s="8">
        <v>13.0</v>
      </c>
      <c r="C1029" s="8">
        <v>16.0</v>
      </c>
      <c r="D1029" s="8">
        <v>26.0</v>
      </c>
      <c r="E1029" s="8">
        <v>46.0</v>
      </c>
      <c r="F1029" s="8">
        <v>49.0</v>
      </c>
      <c r="G1029" s="8">
        <v>54.0</v>
      </c>
      <c r="H1029" s="9">
        <v>8.0</v>
      </c>
      <c r="I1029" s="4">
        <v>45412.0</v>
      </c>
      <c r="J1029" s="5" t="s">
        <v>2049</v>
      </c>
      <c r="K1029" s="11" t="s">
        <v>2050</v>
      </c>
    </row>
    <row r="1030">
      <c r="A1030" s="7">
        <v>1029.0</v>
      </c>
      <c r="B1030" s="8">
        <v>30.0</v>
      </c>
      <c r="C1030" s="8">
        <v>32.0</v>
      </c>
      <c r="D1030" s="8">
        <v>33.0</v>
      </c>
      <c r="E1030" s="8">
        <v>36.0</v>
      </c>
      <c r="F1030" s="8">
        <v>42.0</v>
      </c>
      <c r="G1030" s="8">
        <v>48.0</v>
      </c>
      <c r="H1030" s="9">
        <v>18.0</v>
      </c>
      <c r="I1030" s="4">
        <v>45414.0</v>
      </c>
      <c r="J1030" s="5" t="s">
        <v>2051</v>
      </c>
      <c r="K1030" s="10" t="s">
        <v>2052</v>
      </c>
    </row>
    <row r="1031">
      <c r="A1031" s="7">
        <v>1030.0</v>
      </c>
      <c r="B1031" s="8">
        <v>5.0</v>
      </c>
      <c r="C1031" s="8">
        <v>27.0</v>
      </c>
      <c r="D1031" s="8">
        <v>35.0</v>
      </c>
      <c r="E1031" s="8">
        <v>45.0</v>
      </c>
      <c r="F1031" s="8">
        <v>49.0</v>
      </c>
      <c r="G1031" s="8">
        <v>55.0</v>
      </c>
      <c r="H1031" s="9">
        <v>18.0</v>
      </c>
      <c r="I1031" s="4">
        <v>45416.0</v>
      </c>
      <c r="J1031" s="5" t="s">
        <v>2053</v>
      </c>
      <c r="K1031" s="11" t="s">
        <v>2054</v>
      </c>
    </row>
    <row r="1032">
      <c r="A1032" s="7">
        <v>1031.0</v>
      </c>
      <c r="B1032" s="8">
        <v>21.0</v>
      </c>
      <c r="C1032" s="8">
        <v>26.0</v>
      </c>
      <c r="D1032" s="8">
        <v>35.0</v>
      </c>
      <c r="E1032" s="8">
        <v>41.0</v>
      </c>
      <c r="F1032" s="8">
        <v>44.0</v>
      </c>
      <c r="G1032" s="8">
        <v>52.0</v>
      </c>
      <c r="H1032" s="9">
        <v>13.0</v>
      </c>
      <c r="I1032" s="4">
        <v>45419.0</v>
      </c>
      <c r="J1032" s="5" t="s">
        <v>2055</v>
      </c>
      <c r="K1032" s="10" t="s">
        <v>2056</v>
      </c>
    </row>
    <row r="1033">
      <c r="A1033" s="7">
        <v>1032.0</v>
      </c>
      <c r="B1033" s="8">
        <v>3.0</v>
      </c>
      <c r="C1033" s="8">
        <v>16.0</v>
      </c>
      <c r="D1033" s="8">
        <v>21.0</v>
      </c>
      <c r="E1033" s="8">
        <v>36.0</v>
      </c>
      <c r="F1033" s="8">
        <v>37.0</v>
      </c>
      <c r="G1033" s="8">
        <v>40.0</v>
      </c>
      <c r="H1033" s="9">
        <v>31.0</v>
      </c>
      <c r="I1033" s="4">
        <v>45421.0</v>
      </c>
      <c r="J1033" s="5" t="s">
        <v>2057</v>
      </c>
      <c r="K1033" s="13" t="s">
        <v>2058</v>
      </c>
    </row>
    <row r="1034">
      <c r="A1034" s="7">
        <v>1033.0</v>
      </c>
      <c r="B1034" s="8">
        <v>19.0</v>
      </c>
      <c r="C1034" s="8">
        <v>23.0</v>
      </c>
      <c r="D1034" s="8">
        <v>25.0</v>
      </c>
      <c r="E1034" s="8">
        <v>43.0</v>
      </c>
      <c r="F1034" s="8">
        <v>46.0</v>
      </c>
      <c r="G1034" s="8">
        <v>54.0</v>
      </c>
      <c r="H1034" s="9">
        <v>42.0</v>
      </c>
      <c r="I1034" s="4">
        <v>45423.0</v>
      </c>
      <c r="J1034" s="5" t="s">
        <v>2059</v>
      </c>
      <c r="K1034" s="10" t="s">
        <v>2060</v>
      </c>
    </row>
    <row r="1035">
      <c r="A1035" s="7">
        <v>1034.0</v>
      </c>
      <c r="B1035" s="8">
        <v>5.0</v>
      </c>
      <c r="C1035" s="8">
        <v>17.0</v>
      </c>
      <c r="D1035" s="8">
        <v>36.0</v>
      </c>
      <c r="E1035" s="8">
        <v>40.0</v>
      </c>
      <c r="F1035" s="8">
        <v>46.0</v>
      </c>
      <c r="G1035" s="8">
        <v>50.0</v>
      </c>
      <c r="H1035" s="9">
        <v>1.0</v>
      </c>
      <c r="I1035" s="4">
        <v>45426.0</v>
      </c>
      <c r="J1035" s="5" t="s">
        <v>2061</v>
      </c>
      <c r="K1035" s="13" t="s">
        <v>2062</v>
      </c>
    </row>
    <row r="1036">
      <c r="A1036" s="7">
        <v>1035.0</v>
      </c>
      <c r="B1036" s="8">
        <v>20.0</v>
      </c>
      <c r="C1036" s="8">
        <v>25.0</v>
      </c>
      <c r="D1036" s="8">
        <v>27.0</v>
      </c>
      <c r="E1036" s="8">
        <v>39.0</v>
      </c>
      <c r="F1036" s="8">
        <v>45.0</v>
      </c>
      <c r="G1036" s="8">
        <v>55.0</v>
      </c>
      <c r="H1036" s="9">
        <v>44.0</v>
      </c>
      <c r="I1036" s="4">
        <v>45428.0</v>
      </c>
      <c r="J1036" s="5" t="s">
        <v>2063</v>
      </c>
      <c r="K1036" s="10" t="s">
        <v>2064</v>
      </c>
    </row>
    <row r="1037">
      <c r="A1037" s="7">
        <v>1036.0</v>
      </c>
      <c r="B1037" s="8">
        <v>12.0</v>
      </c>
      <c r="C1037" s="8">
        <v>18.0</v>
      </c>
      <c r="D1037" s="8">
        <v>20.0</v>
      </c>
      <c r="E1037" s="8">
        <v>25.0</v>
      </c>
      <c r="F1037" s="8">
        <v>27.0</v>
      </c>
      <c r="G1037" s="8">
        <v>52.0</v>
      </c>
      <c r="H1037" s="9">
        <v>44.0</v>
      </c>
      <c r="I1037" s="4">
        <v>45430.0</v>
      </c>
      <c r="J1037" s="5" t="s">
        <v>2065</v>
      </c>
      <c r="K1037" s="11" t="s">
        <v>2066</v>
      </c>
    </row>
    <row r="1038">
      <c r="A1038" s="7">
        <v>1037.0</v>
      </c>
      <c r="B1038" s="8">
        <v>1.0</v>
      </c>
      <c r="C1038" s="8">
        <v>2.0</v>
      </c>
      <c r="D1038" s="8">
        <v>14.0</v>
      </c>
      <c r="E1038" s="8">
        <v>32.0</v>
      </c>
      <c r="F1038" s="8">
        <v>33.0</v>
      </c>
      <c r="G1038" s="8">
        <v>41.0</v>
      </c>
      <c r="H1038" s="9">
        <v>4.0</v>
      </c>
      <c r="I1038" s="4">
        <v>45433.0</v>
      </c>
      <c r="J1038" s="5" t="s">
        <v>2067</v>
      </c>
      <c r="K1038" s="10" t="s">
        <v>2068</v>
      </c>
    </row>
    <row r="1039">
      <c r="A1039" s="7">
        <v>1038.0</v>
      </c>
      <c r="B1039" s="8">
        <v>8.0</v>
      </c>
      <c r="C1039" s="8">
        <v>12.0</v>
      </c>
      <c r="D1039" s="8">
        <v>42.0</v>
      </c>
      <c r="E1039" s="8">
        <v>47.0</v>
      </c>
      <c r="F1039" s="8">
        <v>51.0</v>
      </c>
      <c r="G1039" s="8">
        <v>52.0</v>
      </c>
      <c r="H1039" s="9">
        <v>36.0</v>
      </c>
      <c r="I1039" s="4">
        <v>45435.0</v>
      </c>
      <c r="J1039" s="5" t="s">
        <v>2069</v>
      </c>
      <c r="K1039" s="11" t="s">
        <v>2070</v>
      </c>
    </row>
    <row r="1040">
      <c r="A1040" s="7">
        <v>1039.0</v>
      </c>
      <c r="B1040" s="8">
        <v>15.0</v>
      </c>
      <c r="C1040" s="8">
        <v>22.0</v>
      </c>
      <c r="D1040" s="8">
        <v>38.0</v>
      </c>
      <c r="E1040" s="8">
        <v>39.0</v>
      </c>
      <c r="F1040" s="8">
        <v>43.0</v>
      </c>
      <c r="G1040" s="8">
        <v>53.0</v>
      </c>
      <c r="H1040" s="9">
        <v>20.0</v>
      </c>
      <c r="I1040" s="4">
        <v>45437.0</v>
      </c>
      <c r="J1040" s="5" t="s">
        <v>2071</v>
      </c>
      <c r="K1040" s="10" t="s">
        <v>2072</v>
      </c>
    </row>
    <row r="1041">
      <c r="A1041" s="7">
        <v>1040.0</v>
      </c>
      <c r="B1041" s="8">
        <v>1.0</v>
      </c>
      <c r="C1041" s="8">
        <v>25.0</v>
      </c>
      <c r="D1041" s="8">
        <v>29.0</v>
      </c>
      <c r="E1041" s="8">
        <v>37.0</v>
      </c>
      <c r="F1041" s="8">
        <v>40.0</v>
      </c>
      <c r="G1041" s="8">
        <v>54.0</v>
      </c>
      <c r="H1041" s="9">
        <v>50.0</v>
      </c>
      <c r="I1041" s="4">
        <v>45440.0</v>
      </c>
      <c r="J1041" s="5" t="s">
        <v>2073</v>
      </c>
      <c r="K1041" s="11" t="s">
        <v>2074</v>
      </c>
    </row>
    <row r="1042">
      <c r="A1042" s="7">
        <v>1041.0</v>
      </c>
      <c r="B1042" s="8">
        <v>4.0</v>
      </c>
      <c r="C1042" s="8">
        <v>7.0</v>
      </c>
      <c r="D1042" s="8">
        <v>8.0</v>
      </c>
      <c r="E1042" s="8">
        <v>12.0</v>
      </c>
      <c r="F1042" s="8">
        <v>23.0</v>
      </c>
      <c r="G1042" s="8">
        <v>31.0</v>
      </c>
      <c r="H1042" s="9">
        <v>45.0</v>
      </c>
      <c r="I1042" s="4">
        <v>45442.0</v>
      </c>
      <c r="J1042" s="5" t="s">
        <v>2075</v>
      </c>
      <c r="K1042" s="12" t="s">
        <v>2076</v>
      </c>
    </row>
    <row r="1043">
      <c r="A1043" s="7">
        <v>1042.0</v>
      </c>
      <c r="B1043" s="8">
        <v>6.0</v>
      </c>
      <c r="C1043" s="8">
        <v>24.0</v>
      </c>
      <c r="D1043" s="8">
        <v>30.0</v>
      </c>
      <c r="E1043" s="8">
        <v>31.0</v>
      </c>
      <c r="F1043" s="8">
        <v>47.0</v>
      </c>
      <c r="G1043" s="8">
        <v>49.0</v>
      </c>
      <c r="H1043" s="9">
        <v>1.0</v>
      </c>
      <c r="I1043" s="4">
        <v>45444.0</v>
      </c>
      <c r="J1043" s="5" t="s">
        <v>2077</v>
      </c>
      <c r="K1043" s="11" t="s">
        <v>2078</v>
      </c>
    </row>
    <row r="1044">
      <c r="A1044" s="7">
        <v>1043.0</v>
      </c>
      <c r="B1044" s="8">
        <v>1.0</v>
      </c>
      <c r="C1044" s="8">
        <v>2.0</v>
      </c>
      <c r="D1044" s="8">
        <v>7.0</v>
      </c>
      <c r="E1044" s="8">
        <v>10.0</v>
      </c>
      <c r="F1044" s="8">
        <v>13.0</v>
      </c>
      <c r="G1044" s="8">
        <v>19.0</v>
      </c>
      <c r="H1044" s="9">
        <v>24.0</v>
      </c>
      <c r="I1044" s="4">
        <v>45447.0</v>
      </c>
      <c r="J1044" s="5" t="s">
        <v>2079</v>
      </c>
      <c r="K1044" s="12" t="s">
        <v>2080</v>
      </c>
    </row>
    <row r="1045">
      <c r="A1045" s="7">
        <v>1044.0</v>
      </c>
      <c r="B1045" s="8">
        <v>18.0</v>
      </c>
      <c r="C1045" s="8">
        <v>26.0</v>
      </c>
      <c r="D1045" s="8">
        <v>38.0</v>
      </c>
      <c r="E1045" s="8">
        <v>39.0</v>
      </c>
      <c r="F1045" s="8">
        <v>47.0</v>
      </c>
      <c r="G1045" s="8">
        <v>51.0</v>
      </c>
      <c r="H1045" s="9">
        <v>55.0</v>
      </c>
      <c r="I1045" s="4">
        <v>45449.0</v>
      </c>
      <c r="J1045" s="5" t="s">
        <v>2081</v>
      </c>
      <c r="K1045" s="11" t="s">
        <v>2082</v>
      </c>
    </row>
    <row r="1046">
      <c r="A1046" s="7">
        <v>1045.0</v>
      </c>
      <c r="B1046" s="8">
        <v>13.0</v>
      </c>
      <c r="C1046" s="8">
        <v>16.0</v>
      </c>
      <c r="D1046" s="8">
        <v>32.0</v>
      </c>
      <c r="E1046" s="8">
        <v>33.0</v>
      </c>
      <c r="F1046" s="8">
        <v>35.0</v>
      </c>
      <c r="G1046" s="8">
        <v>43.0</v>
      </c>
      <c r="H1046" s="9">
        <v>42.0</v>
      </c>
      <c r="I1046" s="4">
        <v>45451.0</v>
      </c>
      <c r="J1046" s="5" t="s">
        <v>2083</v>
      </c>
      <c r="K1046" s="12" t="s">
        <v>2084</v>
      </c>
    </row>
    <row r="1047">
      <c r="A1047" s="7">
        <v>1046.0</v>
      </c>
      <c r="B1047" s="8">
        <v>13.0</v>
      </c>
      <c r="C1047" s="8">
        <v>16.0</v>
      </c>
      <c r="D1047" s="8">
        <v>21.0</v>
      </c>
      <c r="E1047" s="8">
        <v>30.0</v>
      </c>
      <c r="F1047" s="8">
        <v>32.0</v>
      </c>
      <c r="G1047" s="8">
        <v>39.0</v>
      </c>
      <c r="H1047" s="9">
        <v>53.0</v>
      </c>
      <c r="I1047" s="4">
        <v>45454.0</v>
      </c>
      <c r="J1047" s="5" t="s">
        <v>2085</v>
      </c>
      <c r="K1047" s="11" t="s">
        <v>2086</v>
      </c>
    </row>
    <row r="1048">
      <c r="A1048" s="7">
        <v>1047.0</v>
      </c>
      <c r="B1048" s="8">
        <v>8.0</v>
      </c>
      <c r="C1048" s="8">
        <v>39.0</v>
      </c>
      <c r="D1048" s="8">
        <v>45.0</v>
      </c>
      <c r="E1048" s="8">
        <v>47.0</v>
      </c>
      <c r="F1048" s="8">
        <v>49.0</v>
      </c>
      <c r="G1048" s="8">
        <v>51.0</v>
      </c>
      <c r="H1048" s="9">
        <v>16.0</v>
      </c>
      <c r="I1048" s="4">
        <v>45456.0</v>
      </c>
      <c r="J1048" s="5" t="s">
        <v>2087</v>
      </c>
      <c r="K1048" s="10" t="s">
        <v>2088</v>
      </c>
    </row>
    <row r="1049">
      <c r="A1049" s="7">
        <v>1048.0</v>
      </c>
      <c r="B1049" s="8">
        <v>5.0</v>
      </c>
      <c r="C1049" s="8">
        <v>10.0</v>
      </c>
      <c r="D1049" s="8">
        <v>14.0</v>
      </c>
      <c r="E1049" s="8">
        <v>20.0</v>
      </c>
      <c r="F1049" s="8">
        <v>26.0</v>
      </c>
      <c r="G1049" s="8">
        <v>51.0</v>
      </c>
      <c r="H1049" s="9">
        <v>36.0</v>
      </c>
      <c r="I1049" s="4">
        <v>45458.0</v>
      </c>
      <c r="J1049" s="5" t="s">
        <v>2089</v>
      </c>
      <c r="K1049" s="13" t="s">
        <v>2090</v>
      </c>
    </row>
    <row r="1050">
      <c r="A1050" s="7">
        <v>1049.0</v>
      </c>
      <c r="B1050" s="8">
        <v>20.0</v>
      </c>
      <c r="C1050" s="8">
        <v>23.0</v>
      </c>
      <c r="D1050" s="8">
        <v>27.0</v>
      </c>
      <c r="E1050" s="8">
        <v>36.0</v>
      </c>
      <c r="F1050" s="8">
        <v>38.0</v>
      </c>
      <c r="G1050" s="8">
        <v>44.0</v>
      </c>
      <c r="H1050" s="9">
        <v>52.0</v>
      </c>
      <c r="I1050" s="4">
        <v>45461.0</v>
      </c>
      <c r="J1050" s="5" t="s">
        <v>2091</v>
      </c>
      <c r="K1050" s="10" t="s">
        <v>2092</v>
      </c>
    </row>
    <row r="1051">
      <c r="A1051" s="7">
        <v>1050.0</v>
      </c>
      <c r="B1051" s="8">
        <v>1.0</v>
      </c>
      <c r="C1051" s="8">
        <v>10.0</v>
      </c>
      <c r="D1051" s="8">
        <v>29.0</v>
      </c>
      <c r="E1051" s="8">
        <v>34.0</v>
      </c>
      <c r="F1051" s="8">
        <v>43.0</v>
      </c>
      <c r="G1051" s="8">
        <v>55.0</v>
      </c>
      <c r="H1051" s="9">
        <v>49.0</v>
      </c>
      <c r="I1051" s="4">
        <v>45463.0</v>
      </c>
      <c r="J1051" s="5" t="s">
        <v>2093</v>
      </c>
      <c r="K1051" s="11" t="s">
        <v>2094</v>
      </c>
    </row>
    <row r="1052">
      <c r="A1052" s="7">
        <v>1051.0</v>
      </c>
      <c r="B1052" s="8">
        <v>17.0</v>
      </c>
      <c r="C1052" s="8">
        <v>25.0</v>
      </c>
      <c r="D1052" s="8">
        <v>31.0</v>
      </c>
      <c r="E1052" s="8">
        <v>35.0</v>
      </c>
      <c r="F1052" s="8">
        <v>41.0</v>
      </c>
      <c r="G1052" s="8">
        <v>42.0</v>
      </c>
      <c r="H1052" s="9">
        <v>36.0</v>
      </c>
      <c r="I1052" s="4">
        <v>45465.0</v>
      </c>
      <c r="J1052" s="5" t="s">
        <v>2095</v>
      </c>
      <c r="K1052" s="10" t="s">
        <v>2096</v>
      </c>
    </row>
    <row r="1053">
      <c r="A1053" s="7">
        <v>1052.0</v>
      </c>
      <c r="B1053" s="8">
        <v>1.0</v>
      </c>
      <c r="C1053" s="8">
        <v>5.0</v>
      </c>
      <c r="D1053" s="8">
        <v>9.0</v>
      </c>
      <c r="E1053" s="8">
        <v>13.0</v>
      </c>
      <c r="F1053" s="8">
        <v>18.0</v>
      </c>
      <c r="G1053" s="8">
        <v>27.0</v>
      </c>
      <c r="H1053" s="9">
        <v>8.0</v>
      </c>
      <c r="I1053" s="4">
        <v>45468.0</v>
      </c>
      <c r="J1053" s="5" t="s">
        <v>2097</v>
      </c>
      <c r="K1053" s="11" t="s">
        <v>2098</v>
      </c>
    </row>
    <row r="1054">
      <c r="A1054" s="7">
        <v>1053.0</v>
      </c>
      <c r="B1054" s="8">
        <v>7.0</v>
      </c>
      <c r="C1054" s="8">
        <v>21.0</v>
      </c>
      <c r="D1054" s="8">
        <v>22.0</v>
      </c>
      <c r="E1054" s="8">
        <v>41.0</v>
      </c>
      <c r="F1054" s="8">
        <v>43.0</v>
      </c>
      <c r="G1054" s="8">
        <v>46.0</v>
      </c>
      <c r="H1054" s="9">
        <v>32.0</v>
      </c>
      <c r="I1054" s="4">
        <v>45470.0</v>
      </c>
      <c r="J1054" s="5" t="s">
        <v>2099</v>
      </c>
      <c r="K1054" s="10" t="s">
        <v>2100</v>
      </c>
    </row>
    <row r="1055">
      <c r="A1055" s="7">
        <v>1054.0</v>
      </c>
      <c r="B1055" s="8">
        <v>11.0</v>
      </c>
      <c r="C1055" s="8">
        <v>15.0</v>
      </c>
      <c r="D1055" s="8">
        <v>32.0</v>
      </c>
      <c r="E1055" s="8">
        <v>34.0</v>
      </c>
      <c r="F1055" s="8">
        <v>46.0</v>
      </c>
      <c r="G1055" s="8">
        <v>48.0</v>
      </c>
      <c r="H1055" s="9">
        <v>47.0</v>
      </c>
      <c r="I1055" s="4">
        <v>45472.0</v>
      </c>
      <c r="J1055" s="5" t="s">
        <v>2101</v>
      </c>
      <c r="K1055" s="11" t="s">
        <v>2102</v>
      </c>
    </row>
    <row r="1056">
      <c r="A1056" s="7">
        <v>1055.0</v>
      </c>
      <c r="B1056" s="8">
        <v>7.0</v>
      </c>
      <c r="C1056" s="8">
        <v>8.0</v>
      </c>
      <c r="D1056" s="8">
        <v>50.0</v>
      </c>
      <c r="E1056" s="8">
        <v>52.0</v>
      </c>
      <c r="F1056" s="8">
        <v>53.0</v>
      </c>
      <c r="G1056" s="8">
        <v>54.0</v>
      </c>
      <c r="H1056" s="9">
        <v>2.0</v>
      </c>
      <c r="I1056" s="4">
        <v>45475.0</v>
      </c>
      <c r="J1056" s="5" t="s">
        <v>2103</v>
      </c>
      <c r="K1056" s="12" t="s">
        <v>2104</v>
      </c>
    </row>
    <row r="1057">
      <c r="A1057" s="7">
        <v>1056.0</v>
      </c>
      <c r="B1057" s="8">
        <v>10.0</v>
      </c>
      <c r="C1057" s="8">
        <v>19.0</v>
      </c>
      <c r="D1057" s="8">
        <v>20.0</v>
      </c>
      <c r="E1057" s="8">
        <v>29.0</v>
      </c>
      <c r="F1057" s="8">
        <v>34.0</v>
      </c>
      <c r="G1057" s="8">
        <v>41.0</v>
      </c>
      <c r="H1057" s="9">
        <v>8.0</v>
      </c>
      <c r="I1057" s="4">
        <v>45477.0</v>
      </c>
      <c r="J1057" s="5" t="s">
        <v>2105</v>
      </c>
      <c r="K1057" s="13" t="s">
        <v>2106</v>
      </c>
    </row>
    <row r="1058">
      <c r="A1058" s="7">
        <v>1057.0</v>
      </c>
      <c r="B1058" s="8">
        <v>8.0</v>
      </c>
      <c r="C1058" s="8">
        <v>10.0</v>
      </c>
      <c r="D1058" s="8">
        <v>12.0</v>
      </c>
      <c r="E1058" s="8">
        <v>22.0</v>
      </c>
      <c r="F1058" s="8">
        <v>25.0</v>
      </c>
      <c r="G1058" s="8">
        <v>55.0</v>
      </c>
      <c r="H1058" s="9">
        <v>52.0</v>
      </c>
      <c r="I1058" s="4">
        <v>45479.0</v>
      </c>
      <c r="J1058" s="5" t="s">
        <v>2107</v>
      </c>
      <c r="K1058" s="12" t="s">
        <v>2108</v>
      </c>
    </row>
    <row r="1059">
      <c r="A1059" s="7">
        <v>1058.0</v>
      </c>
      <c r="B1059" s="8">
        <v>6.0</v>
      </c>
      <c r="C1059" s="8">
        <v>8.0</v>
      </c>
      <c r="D1059" s="8">
        <v>9.0</v>
      </c>
      <c r="E1059" s="8">
        <v>28.0</v>
      </c>
      <c r="F1059" s="8">
        <v>33.0</v>
      </c>
      <c r="G1059" s="8">
        <v>53.0</v>
      </c>
      <c r="H1059" s="9">
        <v>10.0</v>
      </c>
      <c r="I1059" s="4">
        <v>45482.0</v>
      </c>
      <c r="J1059" s="5" t="s">
        <v>2109</v>
      </c>
      <c r="K1059" s="11" t="s">
        <v>2110</v>
      </c>
    </row>
    <row r="1060">
      <c r="A1060" s="7">
        <v>1059.0</v>
      </c>
      <c r="B1060" s="8">
        <v>1.0</v>
      </c>
      <c r="C1060" s="8">
        <v>2.0</v>
      </c>
      <c r="D1060" s="8">
        <v>11.0</v>
      </c>
      <c r="E1060" s="8">
        <v>21.0</v>
      </c>
      <c r="F1060" s="8">
        <v>22.0</v>
      </c>
      <c r="G1060" s="8">
        <v>23.0</v>
      </c>
      <c r="H1060" s="9">
        <v>26.0</v>
      </c>
      <c r="I1060" s="4">
        <v>45484.0</v>
      </c>
      <c r="J1060" s="5" t="s">
        <v>2111</v>
      </c>
      <c r="K1060" s="12" t="s">
        <v>2112</v>
      </c>
    </row>
    <row r="1061">
      <c r="A1061" s="7">
        <v>1060.0</v>
      </c>
      <c r="B1061" s="8">
        <v>2.0</v>
      </c>
      <c r="C1061" s="8">
        <v>12.0</v>
      </c>
      <c r="D1061" s="8">
        <v>13.0</v>
      </c>
      <c r="E1061" s="8">
        <v>33.0</v>
      </c>
      <c r="F1061" s="8">
        <v>44.0</v>
      </c>
      <c r="G1061" s="8">
        <v>52.0</v>
      </c>
      <c r="H1061" s="9">
        <v>34.0</v>
      </c>
      <c r="I1061" s="4">
        <v>45486.0</v>
      </c>
      <c r="J1061" s="5" t="s">
        <v>2113</v>
      </c>
      <c r="K1061" s="11" t="s">
        <v>2114</v>
      </c>
    </row>
    <row r="1062">
      <c r="A1062" s="7">
        <v>1061.0</v>
      </c>
      <c r="B1062" s="8">
        <v>20.0</v>
      </c>
      <c r="C1062" s="8">
        <v>31.0</v>
      </c>
      <c r="D1062" s="8">
        <v>34.0</v>
      </c>
      <c r="E1062" s="8">
        <v>36.0</v>
      </c>
      <c r="F1062" s="8">
        <v>47.0</v>
      </c>
      <c r="G1062" s="8">
        <v>52.0</v>
      </c>
      <c r="H1062" s="9">
        <v>2.0</v>
      </c>
      <c r="I1062" s="4">
        <v>45489.0</v>
      </c>
      <c r="J1062" s="5" t="s">
        <v>2115</v>
      </c>
      <c r="K1062" s="10" t="s">
        <v>2116</v>
      </c>
    </row>
    <row r="1063">
      <c r="A1063" s="7">
        <v>1062.0</v>
      </c>
      <c r="B1063" s="8">
        <v>10.0</v>
      </c>
      <c r="C1063" s="8">
        <v>13.0</v>
      </c>
      <c r="D1063" s="8">
        <v>28.0</v>
      </c>
      <c r="E1063" s="8">
        <v>35.0</v>
      </c>
      <c r="F1063" s="8">
        <v>40.0</v>
      </c>
      <c r="G1063" s="8">
        <v>42.0</v>
      </c>
      <c r="H1063" s="9">
        <v>2.0</v>
      </c>
      <c r="I1063" s="4">
        <v>45491.0</v>
      </c>
      <c r="J1063" s="5" t="s">
        <v>2117</v>
      </c>
      <c r="K1063" s="11" t="s">
        <v>2118</v>
      </c>
    </row>
    <row r="1064">
      <c r="A1064" s="7">
        <v>1063.0</v>
      </c>
      <c r="B1064" s="8">
        <v>12.0</v>
      </c>
      <c r="C1064" s="8">
        <v>18.0</v>
      </c>
      <c r="D1064" s="8">
        <v>32.0</v>
      </c>
      <c r="E1064" s="8">
        <v>40.0</v>
      </c>
      <c r="F1064" s="8">
        <v>51.0</v>
      </c>
      <c r="G1064" s="8">
        <v>53.0</v>
      </c>
      <c r="H1064" s="9">
        <v>28.0</v>
      </c>
      <c r="I1064" s="4">
        <v>45493.0</v>
      </c>
      <c r="J1064" s="5" t="s">
        <v>2119</v>
      </c>
      <c r="K1064" s="10" t="s">
        <v>2120</v>
      </c>
    </row>
    <row r="1065">
      <c r="A1065" s="7">
        <v>1064.0</v>
      </c>
      <c r="B1065" s="8">
        <v>34.0</v>
      </c>
      <c r="C1065" s="8">
        <v>39.0</v>
      </c>
      <c r="D1065" s="8">
        <v>40.0</v>
      </c>
      <c r="E1065" s="8">
        <v>42.0</v>
      </c>
      <c r="F1065" s="8">
        <v>54.0</v>
      </c>
      <c r="G1065" s="8">
        <v>55.0</v>
      </c>
      <c r="H1065" s="9">
        <v>30.0</v>
      </c>
      <c r="I1065" s="4">
        <v>45496.0</v>
      </c>
      <c r="J1065" s="5" t="s">
        <v>2121</v>
      </c>
      <c r="K1065" s="11" t="s">
        <v>2122</v>
      </c>
    </row>
    <row r="1066">
      <c r="A1066" s="7">
        <v>1065.0</v>
      </c>
      <c r="B1066" s="8">
        <v>12.0</v>
      </c>
      <c r="C1066" s="8">
        <v>17.0</v>
      </c>
      <c r="D1066" s="8">
        <v>21.0</v>
      </c>
      <c r="E1066" s="8">
        <v>25.0</v>
      </c>
      <c r="F1066" s="8">
        <v>33.0</v>
      </c>
      <c r="G1066" s="8">
        <v>40.0</v>
      </c>
      <c r="H1066" s="9">
        <v>39.0</v>
      </c>
      <c r="I1066" s="4">
        <v>45498.0</v>
      </c>
      <c r="J1066" s="5" t="s">
        <v>2123</v>
      </c>
      <c r="K1066" s="12" t="s">
        <v>2124</v>
      </c>
    </row>
    <row r="1067">
      <c r="A1067" s="7">
        <v>1066.0</v>
      </c>
      <c r="B1067" s="8">
        <v>18.0</v>
      </c>
      <c r="C1067" s="8">
        <v>23.0</v>
      </c>
      <c r="D1067" s="8">
        <v>25.0</v>
      </c>
      <c r="E1067" s="8">
        <v>37.0</v>
      </c>
      <c r="F1067" s="8">
        <v>39.0</v>
      </c>
      <c r="G1067" s="8">
        <v>40.0</v>
      </c>
      <c r="H1067" s="9">
        <v>35.0</v>
      </c>
      <c r="I1067" s="4">
        <v>45500.0</v>
      </c>
      <c r="J1067" s="5" t="s">
        <v>2125</v>
      </c>
      <c r="K1067" s="13" t="s">
        <v>2126</v>
      </c>
    </row>
    <row r="1068">
      <c r="A1068" s="7">
        <v>1067.0</v>
      </c>
      <c r="B1068" s="8">
        <v>2.0</v>
      </c>
      <c r="C1068" s="8">
        <v>6.0</v>
      </c>
      <c r="D1068" s="8">
        <v>22.0</v>
      </c>
      <c r="E1068" s="8">
        <v>23.0</v>
      </c>
      <c r="F1068" s="8">
        <v>38.0</v>
      </c>
      <c r="G1068" s="8">
        <v>51.0</v>
      </c>
      <c r="H1068" s="9">
        <v>32.0</v>
      </c>
      <c r="I1068" s="4">
        <v>45503.0</v>
      </c>
      <c r="J1068" s="5" t="s">
        <v>2127</v>
      </c>
      <c r="K1068" s="10" t="s">
        <v>2128</v>
      </c>
    </row>
    <row r="1069">
      <c r="A1069" s="7">
        <v>1068.0</v>
      </c>
      <c r="B1069" s="8">
        <v>9.0</v>
      </c>
      <c r="C1069" s="8">
        <v>17.0</v>
      </c>
      <c r="D1069" s="8">
        <v>21.0</v>
      </c>
      <c r="E1069" s="8">
        <v>48.0</v>
      </c>
      <c r="F1069" s="8">
        <v>53.0</v>
      </c>
      <c r="G1069" s="8">
        <v>55.0</v>
      </c>
      <c r="H1069" s="9">
        <v>29.0</v>
      </c>
      <c r="I1069" s="4">
        <v>45505.0</v>
      </c>
      <c r="J1069" s="5" t="s">
        <v>2129</v>
      </c>
      <c r="K1069" s="13" t="s">
        <v>2130</v>
      </c>
    </row>
    <row r="1070">
      <c r="A1070" s="7">
        <v>1069.0</v>
      </c>
      <c r="B1070" s="8">
        <v>7.0</v>
      </c>
      <c r="C1070" s="8">
        <v>20.0</v>
      </c>
      <c r="D1070" s="8">
        <v>34.0</v>
      </c>
      <c r="E1070" s="8">
        <v>36.0</v>
      </c>
      <c r="F1070" s="8">
        <v>41.0</v>
      </c>
      <c r="G1070" s="8">
        <v>46.0</v>
      </c>
      <c r="H1070" s="9">
        <v>16.0</v>
      </c>
      <c r="I1070" s="4">
        <v>45507.0</v>
      </c>
      <c r="J1070" s="5" t="s">
        <v>2131</v>
      </c>
      <c r="K1070" s="10" t="s">
        <v>2132</v>
      </c>
    </row>
    <row r="1071">
      <c r="A1071" s="7">
        <v>1070.0</v>
      </c>
      <c r="B1071" s="8">
        <v>22.0</v>
      </c>
      <c r="C1071" s="8">
        <v>34.0</v>
      </c>
      <c r="D1071" s="8">
        <v>44.0</v>
      </c>
      <c r="E1071" s="8">
        <v>46.0</v>
      </c>
      <c r="F1071" s="8">
        <v>54.0</v>
      </c>
      <c r="G1071" s="8">
        <v>55.0</v>
      </c>
      <c r="H1071" s="9">
        <v>14.0</v>
      </c>
      <c r="I1071" s="4">
        <v>45510.0</v>
      </c>
      <c r="J1071" s="5" t="s">
        <v>2133</v>
      </c>
      <c r="K1071" s="11" t="s">
        <v>2134</v>
      </c>
    </row>
    <row r="1072">
      <c r="A1072" s="7">
        <v>1071.0</v>
      </c>
      <c r="B1072" s="8">
        <v>1.0</v>
      </c>
      <c r="C1072" s="8">
        <v>7.0</v>
      </c>
      <c r="D1072" s="8">
        <v>42.0</v>
      </c>
      <c r="E1072" s="8">
        <v>43.0</v>
      </c>
      <c r="F1072" s="8">
        <v>48.0</v>
      </c>
      <c r="G1072" s="8">
        <v>51.0</v>
      </c>
      <c r="H1072" s="9">
        <v>29.0</v>
      </c>
      <c r="I1072" s="4">
        <v>45512.0</v>
      </c>
      <c r="J1072" s="5" t="s">
        <v>2135</v>
      </c>
      <c r="K1072" s="12" t="s">
        <v>2136</v>
      </c>
    </row>
    <row r="1073">
      <c r="A1073" s="7">
        <v>1072.0</v>
      </c>
      <c r="B1073" s="8">
        <v>10.0</v>
      </c>
      <c r="C1073" s="8">
        <v>23.0</v>
      </c>
      <c r="D1073" s="8">
        <v>32.0</v>
      </c>
      <c r="E1073" s="8">
        <v>37.0</v>
      </c>
      <c r="F1073" s="8">
        <v>48.0</v>
      </c>
      <c r="G1073" s="8">
        <v>55.0</v>
      </c>
      <c r="H1073" s="9">
        <v>14.0</v>
      </c>
      <c r="I1073" s="4">
        <v>45514.0</v>
      </c>
      <c r="J1073" s="5" t="s">
        <v>2137</v>
      </c>
      <c r="K1073" s="13" t="s">
        <v>2138</v>
      </c>
    </row>
    <row r="1074">
      <c r="A1074" s="7">
        <v>1073.0</v>
      </c>
      <c r="B1074" s="8">
        <v>9.0</v>
      </c>
      <c r="C1074" s="8">
        <v>26.0</v>
      </c>
      <c r="D1074" s="8">
        <v>40.0</v>
      </c>
      <c r="E1074" s="8">
        <v>44.0</v>
      </c>
      <c r="F1074" s="8">
        <v>45.0</v>
      </c>
      <c r="G1074" s="8">
        <v>50.0</v>
      </c>
      <c r="H1074" s="9">
        <v>27.0</v>
      </c>
      <c r="I1074" s="4">
        <v>45517.0</v>
      </c>
      <c r="J1074" s="5" t="s">
        <v>2139</v>
      </c>
      <c r="K1074" s="10" t="s">
        <v>2140</v>
      </c>
    </row>
    <row r="1075">
      <c r="A1075" s="7">
        <v>1074.0</v>
      </c>
      <c r="B1075" s="8">
        <v>8.0</v>
      </c>
      <c r="C1075" s="8">
        <v>16.0</v>
      </c>
      <c r="D1075" s="8">
        <v>20.0</v>
      </c>
      <c r="E1075" s="8">
        <v>30.0</v>
      </c>
      <c r="F1075" s="8">
        <v>34.0</v>
      </c>
      <c r="G1075" s="8">
        <v>43.0</v>
      </c>
      <c r="H1075" s="9">
        <v>46.0</v>
      </c>
      <c r="I1075" s="4">
        <v>45519.0</v>
      </c>
      <c r="J1075" s="5" t="s">
        <v>2141</v>
      </c>
      <c r="K1075" s="13" t="s">
        <v>2142</v>
      </c>
    </row>
    <row r="1076">
      <c r="A1076" s="7">
        <v>1075.0</v>
      </c>
      <c r="B1076" s="8">
        <v>4.0</v>
      </c>
      <c r="C1076" s="8">
        <v>28.0</v>
      </c>
      <c r="D1076" s="8">
        <v>35.0</v>
      </c>
      <c r="E1076" s="8">
        <v>38.0</v>
      </c>
      <c r="F1076" s="8">
        <v>39.0</v>
      </c>
      <c r="G1076" s="8">
        <v>45.0</v>
      </c>
      <c r="H1076" s="9">
        <v>5.0</v>
      </c>
      <c r="I1076" s="4">
        <v>45521.0</v>
      </c>
      <c r="J1076" s="5" t="s">
        <v>2143</v>
      </c>
      <c r="K1076" s="10" t="s">
        <v>2144</v>
      </c>
    </row>
    <row r="1077">
      <c r="A1077" s="7">
        <v>1076.0</v>
      </c>
      <c r="B1077" s="8">
        <v>5.0</v>
      </c>
      <c r="C1077" s="8">
        <v>24.0</v>
      </c>
      <c r="D1077" s="8">
        <v>26.0</v>
      </c>
      <c r="E1077" s="8">
        <v>27.0</v>
      </c>
      <c r="F1077" s="8">
        <v>29.0</v>
      </c>
      <c r="G1077" s="8">
        <v>54.0</v>
      </c>
      <c r="H1077" s="9">
        <v>6.0</v>
      </c>
      <c r="I1077" s="4">
        <v>45524.0</v>
      </c>
      <c r="J1077" s="5" t="s">
        <v>2145</v>
      </c>
      <c r="K1077" s="11" t="s">
        <v>2146</v>
      </c>
    </row>
    <row r="1078">
      <c r="A1078" s="7">
        <v>1077.0</v>
      </c>
      <c r="B1078" s="8">
        <v>11.0</v>
      </c>
      <c r="C1078" s="8">
        <v>18.0</v>
      </c>
      <c r="D1078" s="8">
        <v>20.0</v>
      </c>
      <c r="E1078" s="8">
        <v>32.0</v>
      </c>
      <c r="F1078" s="8">
        <v>41.0</v>
      </c>
      <c r="G1078" s="8">
        <v>46.0</v>
      </c>
      <c r="H1078" s="9">
        <v>33.0</v>
      </c>
      <c r="I1078" s="4">
        <v>45526.0</v>
      </c>
      <c r="J1078" s="5" t="s">
        <v>2147</v>
      </c>
      <c r="K1078" s="12" t="s">
        <v>2148</v>
      </c>
    </row>
    <row r="1079">
      <c r="A1079" s="7">
        <v>1078.0</v>
      </c>
      <c r="B1079" s="8">
        <v>2.0</v>
      </c>
      <c r="C1079" s="8">
        <v>17.0</v>
      </c>
      <c r="D1079" s="8">
        <v>20.0</v>
      </c>
      <c r="E1079" s="8">
        <v>21.0</v>
      </c>
      <c r="F1079" s="8">
        <v>22.0</v>
      </c>
      <c r="G1079" s="8">
        <v>23.0</v>
      </c>
      <c r="H1079" s="9">
        <v>38.0</v>
      </c>
      <c r="I1079" s="4">
        <v>45528.0</v>
      </c>
      <c r="J1079" s="5" t="s">
        <v>2149</v>
      </c>
      <c r="K1079" s="11" t="s">
        <v>2150</v>
      </c>
    </row>
    <row r="1080">
      <c r="A1080" s="7">
        <v>1079.0</v>
      </c>
      <c r="B1080" s="8">
        <v>5.0</v>
      </c>
      <c r="C1080" s="8">
        <v>6.0</v>
      </c>
      <c r="D1080" s="8">
        <v>29.0</v>
      </c>
      <c r="E1080" s="8">
        <v>31.0</v>
      </c>
      <c r="F1080" s="8">
        <v>37.0</v>
      </c>
      <c r="G1080" s="8">
        <v>48.0</v>
      </c>
      <c r="H1080" s="9">
        <v>2.0</v>
      </c>
      <c r="I1080" s="4">
        <v>45531.0</v>
      </c>
      <c r="J1080" s="5" t="s">
        <v>2151</v>
      </c>
      <c r="K1080" s="10" t="s">
        <v>2152</v>
      </c>
    </row>
    <row r="1081">
      <c r="A1081" s="7">
        <v>1080.0</v>
      </c>
      <c r="B1081" s="8">
        <v>8.0</v>
      </c>
      <c r="C1081" s="8">
        <v>11.0</v>
      </c>
      <c r="D1081" s="8">
        <v>21.0</v>
      </c>
      <c r="E1081" s="8">
        <v>29.0</v>
      </c>
      <c r="F1081" s="8">
        <v>38.0</v>
      </c>
      <c r="G1081" s="8">
        <v>55.0</v>
      </c>
      <c r="H1081" s="9">
        <v>12.0</v>
      </c>
      <c r="I1081" s="4">
        <v>45533.0</v>
      </c>
      <c r="J1081" s="5" t="s">
        <v>2153</v>
      </c>
      <c r="K1081" s="11" t="s">
        <v>2154</v>
      </c>
    </row>
    <row r="1082">
      <c r="A1082" s="7">
        <v>1081.0</v>
      </c>
      <c r="B1082" s="8">
        <v>24.0</v>
      </c>
      <c r="C1082" s="8">
        <v>33.0</v>
      </c>
      <c r="D1082" s="8">
        <v>38.0</v>
      </c>
      <c r="E1082" s="8">
        <v>40.0</v>
      </c>
      <c r="F1082" s="8">
        <v>42.0</v>
      </c>
      <c r="G1082" s="8">
        <v>51.0</v>
      </c>
      <c r="H1082" s="9">
        <v>28.0</v>
      </c>
      <c r="I1082" s="4">
        <v>45535.0</v>
      </c>
      <c r="J1082" s="5" t="s">
        <v>2155</v>
      </c>
      <c r="K1082" s="12" t="s">
        <v>2156</v>
      </c>
    </row>
    <row r="1083">
      <c r="A1083" s="7">
        <v>1082.0</v>
      </c>
      <c r="B1083" s="8">
        <v>8.0</v>
      </c>
      <c r="C1083" s="8">
        <v>10.0</v>
      </c>
      <c r="D1083" s="8">
        <v>11.0</v>
      </c>
      <c r="E1083" s="8">
        <v>14.0</v>
      </c>
      <c r="F1083" s="8">
        <v>38.0</v>
      </c>
      <c r="G1083" s="8">
        <v>48.0</v>
      </c>
      <c r="H1083" s="9">
        <v>41.0</v>
      </c>
      <c r="I1083" s="4">
        <v>45538.0</v>
      </c>
      <c r="J1083" s="5" t="s">
        <v>2157</v>
      </c>
      <c r="K1083" s="11" t="s">
        <v>2158</v>
      </c>
    </row>
    <row r="1084">
      <c r="A1084" s="7">
        <v>1083.0</v>
      </c>
      <c r="B1084" s="8">
        <v>15.0</v>
      </c>
      <c r="C1084" s="8">
        <v>20.0</v>
      </c>
      <c r="D1084" s="8">
        <v>23.0</v>
      </c>
      <c r="E1084" s="8">
        <v>29.0</v>
      </c>
      <c r="F1084" s="8">
        <v>34.0</v>
      </c>
      <c r="G1084" s="8">
        <v>46.0</v>
      </c>
      <c r="H1084" s="9">
        <v>1.0</v>
      </c>
      <c r="I1084" s="4">
        <v>45540.0</v>
      </c>
      <c r="J1084" s="5" t="s">
        <v>2159</v>
      </c>
      <c r="K1084" s="10" t="s">
        <v>2160</v>
      </c>
    </row>
    <row r="1085">
      <c r="A1085" s="7">
        <v>1084.0</v>
      </c>
      <c r="B1085" s="8">
        <v>5.0</v>
      </c>
      <c r="C1085" s="8">
        <v>11.0</v>
      </c>
      <c r="D1085" s="8">
        <v>20.0</v>
      </c>
      <c r="E1085" s="8">
        <v>39.0</v>
      </c>
      <c r="F1085" s="8">
        <v>46.0</v>
      </c>
      <c r="G1085" s="8">
        <v>53.0</v>
      </c>
      <c r="H1085" s="9">
        <v>37.0</v>
      </c>
      <c r="I1085" s="4">
        <v>45542.0</v>
      </c>
      <c r="J1085" s="5" t="s">
        <v>2161</v>
      </c>
      <c r="K1085" s="11" t="s">
        <v>2162</v>
      </c>
    </row>
    <row r="1086">
      <c r="A1086" s="7">
        <v>1085.0</v>
      </c>
      <c r="B1086" s="8">
        <v>15.0</v>
      </c>
      <c r="C1086" s="8">
        <v>23.0</v>
      </c>
      <c r="D1086" s="8">
        <v>37.0</v>
      </c>
      <c r="E1086" s="8">
        <v>38.0</v>
      </c>
      <c r="F1086" s="8">
        <v>45.0</v>
      </c>
      <c r="G1086" s="8">
        <v>49.0</v>
      </c>
      <c r="H1086" s="9">
        <v>30.0</v>
      </c>
      <c r="I1086" s="4">
        <v>45545.0</v>
      </c>
      <c r="J1086" s="5" t="s">
        <v>2163</v>
      </c>
      <c r="K1086" s="12" t="s">
        <v>2164</v>
      </c>
    </row>
    <row r="1087">
      <c r="A1087" s="7">
        <v>1086.0</v>
      </c>
      <c r="B1087" s="8">
        <v>3.0</v>
      </c>
      <c r="C1087" s="8">
        <v>8.0</v>
      </c>
      <c r="D1087" s="8">
        <v>31.0</v>
      </c>
      <c r="E1087" s="8">
        <v>36.0</v>
      </c>
      <c r="F1087" s="8">
        <v>39.0</v>
      </c>
      <c r="G1087" s="8">
        <v>47.0</v>
      </c>
      <c r="H1087" s="9">
        <v>38.0</v>
      </c>
      <c r="I1087" s="4">
        <v>45547.0</v>
      </c>
      <c r="J1087" s="5" t="s">
        <v>2165</v>
      </c>
      <c r="K1087" s="11" t="s">
        <v>2166</v>
      </c>
    </row>
    <row r="1088">
      <c r="A1088" s="7">
        <v>1087.0</v>
      </c>
      <c r="B1088" s="8">
        <v>2.0</v>
      </c>
      <c r="C1088" s="8">
        <v>12.0</v>
      </c>
      <c r="D1088" s="8">
        <v>25.0</v>
      </c>
      <c r="E1088" s="8">
        <v>32.0</v>
      </c>
      <c r="F1088" s="8">
        <v>51.0</v>
      </c>
      <c r="G1088" s="8">
        <v>54.0</v>
      </c>
      <c r="H1088" s="9">
        <v>34.0</v>
      </c>
      <c r="I1088" s="4">
        <v>45549.0</v>
      </c>
      <c r="J1088" s="5" t="s">
        <v>2167</v>
      </c>
      <c r="K1088" s="10" t="s">
        <v>2168</v>
      </c>
    </row>
    <row r="1089">
      <c r="A1089" s="7">
        <v>1088.0</v>
      </c>
      <c r="B1089" s="8">
        <v>14.0</v>
      </c>
      <c r="C1089" s="8">
        <v>32.0</v>
      </c>
      <c r="D1089" s="8">
        <v>34.0</v>
      </c>
      <c r="E1089" s="8">
        <v>41.0</v>
      </c>
      <c r="F1089" s="8">
        <v>47.0</v>
      </c>
      <c r="G1089" s="8">
        <v>54.0</v>
      </c>
      <c r="H1089" s="9">
        <v>48.0</v>
      </c>
      <c r="I1089" s="4">
        <v>45552.0</v>
      </c>
      <c r="J1089" s="5" t="s">
        <v>2169</v>
      </c>
      <c r="K1089" s="11" t="s">
        <v>2170</v>
      </c>
    </row>
    <row r="1090">
      <c r="A1090" s="7">
        <v>1089.0</v>
      </c>
      <c r="B1090" s="8">
        <v>4.0</v>
      </c>
      <c r="C1090" s="8">
        <v>9.0</v>
      </c>
      <c r="D1090" s="8">
        <v>22.0</v>
      </c>
      <c r="E1090" s="8">
        <v>24.0</v>
      </c>
      <c r="F1090" s="8">
        <v>45.0</v>
      </c>
      <c r="G1090" s="8">
        <v>54.0</v>
      </c>
      <c r="H1090" s="9">
        <v>48.0</v>
      </c>
      <c r="I1090" s="4">
        <v>45554.0</v>
      </c>
      <c r="J1090" s="5" t="s">
        <v>2171</v>
      </c>
      <c r="K1090" s="10" t="s">
        <v>2172</v>
      </c>
    </row>
    <row r="1091">
      <c r="A1091" s="7">
        <v>1090.0</v>
      </c>
      <c r="B1091" s="8">
        <v>3.0</v>
      </c>
      <c r="C1091" s="8">
        <v>8.0</v>
      </c>
      <c r="D1091" s="8">
        <v>9.0</v>
      </c>
      <c r="E1091" s="8">
        <v>22.0</v>
      </c>
      <c r="F1091" s="8">
        <v>26.0</v>
      </c>
      <c r="G1091" s="8">
        <v>55.0</v>
      </c>
      <c r="H1091" s="9">
        <v>11.0</v>
      </c>
      <c r="I1091" s="4">
        <v>45556.0</v>
      </c>
      <c r="J1091" s="5" t="s">
        <v>2173</v>
      </c>
      <c r="K1091" s="13" t="s">
        <v>2174</v>
      </c>
    </row>
    <row r="1092">
      <c r="A1092" s="7">
        <v>1091.0</v>
      </c>
      <c r="B1092" s="8">
        <v>1.0</v>
      </c>
      <c r="C1092" s="8">
        <v>6.0</v>
      </c>
      <c r="D1092" s="8">
        <v>11.0</v>
      </c>
      <c r="E1092" s="8">
        <v>17.0</v>
      </c>
      <c r="F1092" s="8">
        <v>24.0</v>
      </c>
      <c r="G1092" s="8">
        <v>31.0</v>
      </c>
      <c r="H1092" s="9">
        <v>43.0</v>
      </c>
      <c r="I1092" s="4">
        <v>45559.0</v>
      </c>
      <c r="J1092" s="5" t="s">
        <v>2175</v>
      </c>
      <c r="K1092" s="10" t="s">
        <v>2176</v>
      </c>
    </row>
    <row r="1093">
      <c r="A1093" s="7">
        <v>1092.0</v>
      </c>
      <c r="B1093" s="8">
        <v>3.0</v>
      </c>
      <c r="C1093" s="8">
        <v>18.0</v>
      </c>
      <c r="D1093" s="8">
        <v>29.0</v>
      </c>
      <c r="E1093" s="8">
        <v>39.0</v>
      </c>
      <c r="F1093" s="8">
        <v>41.0</v>
      </c>
      <c r="G1093" s="8">
        <v>49.0</v>
      </c>
      <c r="H1093" s="9">
        <v>46.0</v>
      </c>
      <c r="I1093" s="4">
        <v>45561.0</v>
      </c>
      <c r="J1093" s="5" t="s">
        <v>2177</v>
      </c>
      <c r="K1093" s="11" t="s">
        <v>2178</v>
      </c>
    </row>
    <row r="1094">
      <c r="A1094" s="7">
        <v>1093.0</v>
      </c>
      <c r="B1094" s="8">
        <v>2.0</v>
      </c>
      <c r="C1094" s="8">
        <v>11.0</v>
      </c>
      <c r="D1094" s="8">
        <v>13.0</v>
      </c>
      <c r="E1094" s="8">
        <v>32.0</v>
      </c>
      <c r="F1094" s="8">
        <v>41.0</v>
      </c>
      <c r="G1094" s="8">
        <v>48.0</v>
      </c>
      <c r="H1094" s="9">
        <v>15.0</v>
      </c>
      <c r="I1094" s="4">
        <v>45563.0</v>
      </c>
      <c r="J1094" s="5" t="s">
        <v>2179</v>
      </c>
      <c r="K1094" s="12" t="s">
        <v>2180</v>
      </c>
    </row>
    <row r="1095">
      <c r="A1095" s="7">
        <v>1094.0</v>
      </c>
      <c r="B1095" s="8">
        <v>3.0</v>
      </c>
      <c r="C1095" s="8">
        <v>18.0</v>
      </c>
      <c r="D1095" s="8">
        <v>22.0</v>
      </c>
      <c r="E1095" s="8">
        <v>41.0</v>
      </c>
      <c r="F1095" s="8">
        <v>43.0</v>
      </c>
      <c r="G1095" s="8">
        <v>44.0</v>
      </c>
      <c r="H1095" s="9">
        <v>12.0</v>
      </c>
      <c r="I1095" s="4">
        <v>45566.0</v>
      </c>
      <c r="J1095" s="5" t="s">
        <v>2181</v>
      </c>
      <c r="K1095" s="11" t="s">
        <v>2182</v>
      </c>
    </row>
    <row r="1096">
      <c r="A1096" s="7">
        <v>1095.0</v>
      </c>
      <c r="B1096" s="8">
        <v>18.0</v>
      </c>
      <c r="C1096" s="8">
        <v>21.0</v>
      </c>
      <c r="D1096" s="8">
        <v>34.0</v>
      </c>
      <c r="E1096" s="8">
        <v>40.0</v>
      </c>
      <c r="F1096" s="8">
        <v>42.0</v>
      </c>
      <c r="G1096" s="8">
        <v>53.0</v>
      </c>
      <c r="H1096" s="9">
        <v>25.0</v>
      </c>
      <c r="I1096" s="4">
        <v>45568.0</v>
      </c>
      <c r="J1096" s="5" t="s">
        <v>2183</v>
      </c>
      <c r="K1096" s="12" t="s">
        <v>2184</v>
      </c>
    </row>
    <row r="1097">
      <c r="A1097" s="7">
        <v>1096.0</v>
      </c>
      <c r="B1097" s="8">
        <v>2.0</v>
      </c>
      <c r="C1097" s="8">
        <v>10.0</v>
      </c>
      <c r="D1097" s="8">
        <v>17.0</v>
      </c>
      <c r="E1097" s="8">
        <v>27.0</v>
      </c>
      <c r="F1097" s="8">
        <v>50.0</v>
      </c>
      <c r="G1097" s="8">
        <v>52.0</v>
      </c>
      <c r="H1097" s="9">
        <v>18.0</v>
      </c>
      <c r="I1097" s="4">
        <v>45570.0</v>
      </c>
      <c r="J1097" s="5" t="s">
        <v>2185</v>
      </c>
      <c r="K1097" s="11" t="s">
        <v>2186</v>
      </c>
    </row>
    <row r="1098">
      <c r="A1098" s="7">
        <v>1097.0</v>
      </c>
      <c r="B1098" s="8">
        <v>3.0</v>
      </c>
      <c r="C1098" s="8">
        <v>7.0</v>
      </c>
      <c r="D1098" s="8">
        <v>14.0</v>
      </c>
      <c r="E1098" s="8">
        <v>17.0</v>
      </c>
      <c r="F1098" s="8">
        <v>48.0</v>
      </c>
      <c r="G1098" s="8">
        <v>50.0</v>
      </c>
      <c r="H1098" s="9">
        <v>40.0</v>
      </c>
      <c r="I1098" s="4">
        <v>45573.0</v>
      </c>
      <c r="J1098" s="5" t="s">
        <v>2187</v>
      </c>
      <c r="K1098" s="10" t="s">
        <v>2188</v>
      </c>
    </row>
    <row r="1099">
      <c r="A1099" s="7">
        <v>1098.0</v>
      </c>
      <c r="B1099" s="8">
        <v>4.0</v>
      </c>
      <c r="C1099" s="8">
        <v>5.0</v>
      </c>
      <c r="D1099" s="8">
        <v>6.0</v>
      </c>
      <c r="E1099" s="8">
        <v>29.0</v>
      </c>
      <c r="F1099" s="8">
        <v>32.0</v>
      </c>
      <c r="G1099" s="8">
        <v>44.0</v>
      </c>
      <c r="H1099" s="9">
        <v>53.0</v>
      </c>
      <c r="I1099" s="4">
        <v>45575.0</v>
      </c>
      <c r="J1099" s="5" t="s">
        <v>2189</v>
      </c>
      <c r="K1099" s="13" t="s">
        <v>2190</v>
      </c>
    </row>
    <row r="1100">
      <c r="A1100" s="7">
        <v>1099.0</v>
      </c>
      <c r="B1100" s="8">
        <v>29.0</v>
      </c>
      <c r="C1100" s="8">
        <v>34.0</v>
      </c>
      <c r="D1100" s="8">
        <v>35.0</v>
      </c>
      <c r="E1100" s="8">
        <v>38.0</v>
      </c>
      <c r="F1100" s="8">
        <v>50.0</v>
      </c>
      <c r="G1100" s="8">
        <v>51.0</v>
      </c>
      <c r="H1100" s="9">
        <v>37.0</v>
      </c>
      <c r="I1100" s="4">
        <v>45577.0</v>
      </c>
      <c r="J1100" s="5" t="s">
        <v>2191</v>
      </c>
      <c r="K1100" s="10" t="s">
        <v>2192</v>
      </c>
    </row>
    <row r="1101">
      <c r="A1101" s="7">
        <v>1100.0</v>
      </c>
      <c r="B1101" s="8">
        <v>4.0</v>
      </c>
      <c r="C1101" s="8">
        <v>25.0</v>
      </c>
      <c r="D1101" s="8">
        <v>41.0</v>
      </c>
      <c r="E1101" s="8">
        <v>42.0</v>
      </c>
      <c r="F1101" s="8">
        <v>46.0</v>
      </c>
      <c r="G1101" s="8">
        <v>52.0</v>
      </c>
      <c r="H1101" s="9">
        <v>33.0</v>
      </c>
      <c r="I1101" s="4">
        <v>45580.0</v>
      </c>
      <c r="J1101" s="5" t="s">
        <v>2193</v>
      </c>
      <c r="K1101" s="11" t="s">
        <v>2194</v>
      </c>
    </row>
    <row r="1102">
      <c r="A1102" s="7">
        <v>1101.0</v>
      </c>
      <c r="B1102" s="8">
        <v>11.0</v>
      </c>
      <c r="C1102" s="8">
        <v>14.0</v>
      </c>
      <c r="D1102" s="8">
        <v>15.0</v>
      </c>
      <c r="E1102" s="8">
        <v>26.0</v>
      </c>
      <c r="F1102" s="8">
        <v>38.0</v>
      </c>
      <c r="G1102" s="8">
        <v>41.0</v>
      </c>
      <c r="H1102" s="9">
        <v>25.0</v>
      </c>
      <c r="I1102" s="4">
        <v>45582.0</v>
      </c>
      <c r="J1102" s="5" t="s">
        <v>2195</v>
      </c>
      <c r="K1102" s="10" t="s">
        <v>2196</v>
      </c>
    </row>
    <row r="1103">
      <c r="A1103" s="7">
        <v>1102.0</v>
      </c>
      <c r="B1103" s="8">
        <v>9.0</v>
      </c>
      <c r="C1103" s="8">
        <v>22.0</v>
      </c>
      <c r="D1103" s="8">
        <v>31.0</v>
      </c>
      <c r="E1103" s="8">
        <v>39.0</v>
      </c>
      <c r="F1103" s="8">
        <v>43.0</v>
      </c>
      <c r="G1103" s="8">
        <v>51.0</v>
      </c>
      <c r="H1103" s="9">
        <v>19.0</v>
      </c>
      <c r="I1103" s="4">
        <v>45584.0</v>
      </c>
      <c r="J1103" s="5" t="s">
        <v>2197</v>
      </c>
      <c r="K1103" s="11" t="s">
        <v>2198</v>
      </c>
    </row>
    <row r="1104">
      <c r="A1104" s="7">
        <v>1103.0</v>
      </c>
      <c r="B1104" s="8">
        <v>15.0</v>
      </c>
      <c r="C1104" s="8">
        <v>21.0</v>
      </c>
      <c r="D1104" s="8">
        <v>23.0</v>
      </c>
      <c r="E1104" s="8">
        <v>26.0</v>
      </c>
      <c r="F1104" s="8">
        <v>31.0</v>
      </c>
      <c r="G1104" s="8">
        <v>43.0</v>
      </c>
      <c r="H1104" s="9">
        <v>35.0</v>
      </c>
      <c r="I1104" s="4">
        <v>45587.0</v>
      </c>
      <c r="J1104" s="5" t="s">
        <v>2199</v>
      </c>
      <c r="K1104" s="10" t="s">
        <v>2200</v>
      </c>
    </row>
    <row r="1105">
      <c r="A1105" s="7">
        <v>1104.0</v>
      </c>
      <c r="B1105" s="8">
        <v>5.0</v>
      </c>
      <c r="C1105" s="8">
        <v>17.0</v>
      </c>
      <c r="D1105" s="8">
        <v>31.0</v>
      </c>
      <c r="E1105" s="8">
        <v>39.0</v>
      </c>
      <c r="F1105" s="8">
        <v>46.0</v>
      </c>
      <c r="G1105" s="8">
        <v>53.0</v>
      </c>
      <c r="H1105" s="9">
        <v>3.0</v>
      </c>
      <c r="I1105" s="4">
        <v>45589.0</v>
      </c>
      <c r="J1105" s="5" t="s">
        <v>2201</v>
      </c>
      <c r="K1105" s="13" t="s">
        <v>2202</v>
      </c>
    </row>
    <row r="1106">
      <c r="A1106" s="7">
        <v>1105.0</v>
      </c>
      <c r="B1106" s="8">
        <v>5.0</v>
      </c>
      <c r="C1106" s="8">
        <v>19.0</v>
      </c>
      <c r="D1106" s="8">
        <v>27.0</v>
      </c>
      <c r="E1106" s="8">
        <v>29.0</v>
      </c>
      <c r="F1106" s="8">
        <v>42.0</v>
      </c>
      <c r="G1106" s="8">
        <v>47.0</v>
      </c>
      <c r="H1106" s="9">
        <v>40.0</v>
      </c>
      <c r="I1106" s="4">
        <v>45591.0</v>
      </c>
      <c r="J1106" s="5" t="s">
        <v>2203</v>
      </c>
      <c r="K1106" s="10" t="s">
        <v>2204</v>
      </c>
    </row>
    <row r="1107">
      <c r="A1107" s="7">
        <v>1106.0</v>
      </c>
      <c r="B1107" s="8">
        <v>14.0</v>
      </c>
      <c r="C1107" s="8">
        <v>17.0</v>
      </c>
      <c r="D1107" s="8">
        <v>19.0</v>
      </c>
      <c r="E1107" s="8">
        <v>28.0</v>
      </c>
      <c r="F1107" s="8">
        <v>47.0</v>
      </c>
      <c r="G1107" s="8">
        <v>51.0</v>
      </c>
      <c r="H1107" s="9">
        <v>55.0</v>
      </c>
      <c r="I1107" s="4">
        <v>45594.0</v>
      </c>
      <c r="J1107" s="5" t="s">
        <v>2205</v>
      </c>
      <c r="K1107" s="13" t="s">
        <v>2206</v>
      </c>
    </row>
    <row r="1108">
      <c r="A1108" s="7">
        <v>1107.0</v>
      </c>
      <c r="B1108" s="8">
        <v>5.0</v>
      </c>
      <c r="C1108" s="8">
        <v>16.0</v>
      </c>
      <c r="D1108" s="8">
        <v>20.0</v>
      </c>
      <c r="E1108" s="8">
        <v>29.0</v>
      </c>
      <c r="F1108" s="8">
        <v>30.0</v>
      </c>
      <c r="G1108" s="8">
        <v>31.0</v>
      </c>
      <c r="H1108" s="9">
        <v>39.0</v>
      </c>
      <c r="I1108" s="4">
        <v>45596.0</v>
      </c>
      <c r="J1108" s="5" t="s">
        <v>2207</v>
      </c>
      <c r="K1108" s="12" t="s">
        <v>2208</v>
      </c>
    </row>
    <row r="1109">
      <c r="A1109" s="7">
        <v>1108.0</v>
      </c>
      <c r="B1109" s="8">
        <v>2.0</v>
      </c>
      <c r="C1109" s="8">
        <v>9.0</v>
      </c>
      <c r="D1109" s="8">
        <v>19.0</v>
      </c>
      <c r="E1109" s="8">
        <v>20.0</v>
      </c>
      <c r="F1109" s="8">
        <v>34.0</v>
      </c>
      <c r="G1109" s="8">
        <v>54.0</v>
      </c>
      <c r="H1109" s="9">
        <v>26.0</v>
      </c>
      <c r="I1109" s="4">
        <v>45598.0</v>
      </c>
      <c r="J1109" s="5" t="s">
        <v>2209</v>
      </c>
      <c r="K1109" s="11" t="s">
        <v>2210</v>
      </c>
    </row>
    <row r="1110">
      <c r="A1110" s="7">
        <v>1109.0</v>
      </c>
      <c r="B1110" s="8">
        <v>9.0</v>
      </c>
      <c r="C1110" s="8">
        <v>31.0</v>
      </c>
      <c r="D1110" s="8">
        <v>36.0</v>
      </c>
      <c r="E1110" s="8">
        <v>46.0</v>
      </c>
      <c r="F1110" s="8">
        <v>49.0</v>
      </c>
      <c r="G1110" s="8">
        <v>54.0</v>
      </c>
      <c r="H1110" s="9">
        <v>7.0</v>
      </c>
      <c r="I1110" s="4">
        <v>45601.0</v>
      </c>
      <c r="J1110" s="5" t="s">
        <v>2211</v>
      </c>
      <c r="K1110" s="10" t="s">
        <v>2212</v>
      </c>
    </row>
    <row r="1111">
      <c r="A1111" s="7">
        <v>1110.0</v>
      </c>
      <c r="B1111" s="8">
        <v>6.0</v>
      </c>
      <c r="C1111" s="8">
        <v>9.0</v>
      </c>
      <c r="D1111" s="8">
        <v>33.0</v>
      </c>
      <c r="E1111" s="8">
        <v>39.0</v>
      </c>
      <c r="F1111" s="8">
        <v>50.0</v>
      </c>
      <c r="G1111" s="8">
        <v>51.0</v>
      </c>
      <c r="H1111" s="9">
        <v>43.0</v>
      </c>
      <c r="I1111" s="4">
        <v>45603.0</v>
      </c>
      <c r="J1111" s="5" t="s">
        <v>2213</v>
      </c>
      <c r="K1111" s="11" t="s">
        <v>2214</v>
      </c>
    </row>
    <row r="1112">
      <c r="A1112" s="7">
        <v>1111.0</v>
      </c>
      <c r="B1112" s="8">
        <v>11.0</v>
      </c>
      <c r="C1112" s="8">
        <v>14.0</v>
      </c>
      <c r="D1112" s="8">
        <v>24.0</v>
      </c>
      <c r="E1112" s="8">
        <v>26.0</v>
      </c>
      <c r="F1112" s="8">
        <v>34.0</v>
      </c>
      <c r="G1112" s="8">
        <v>51.0</v>
      </c>
      <c r="H1112" s="9">
        <v>40.0</v>
      </c>
      <c r="I1112" s="4">
        <v>45605.0</v>
      </c>
      <c r="J1112" s="5" t="s">
        <v>2215</v>
      </c>
      <c r="K1112" s="10" t="s">
        <v>2216</v>
      </c>
    </row>
    <row r="1113">
      <c r="A1113" s="7">
        <v>1112.0</v>
      </c>
      <c r="B1113" s="8">
        <v>1.0</v>
      </c>
      <c r="C1113" s="8">
        <v>21.0</v>
      </c>
      <c r="D1113" s="8">
        <v>29.0</v>
      </c>
      <c r="E1113" s="8">
        <v>35.0</v>
      </c>
      <c r="F1113" s="8">
        <v>41.0</v>
      </c>
      <c r="G1113" s="8">
        <v>45.0</v>
      </c>
      <c r="H1113" s="9">
        <v>20.0</v>
      </c>
      <c r="I1113" s="4">
        <v>45608.0</v>
      </c>
      <c r="J1113" s="5" t="s">
        <v>2217</v>
      </c>
      <c r="K1113" s="11" t="s">
        <v>2218</v>
      </c>
    </row>
    <row r="1114">
      <c r="A1114" s="7">
        <v>1113.0</v>
      </c>
      <c r="B1114" s="8">
        <v>12.0</v>
      </c>
      <c r="C1114" s="8">
        <v>25.0</v>
      </c>
      <c r="D1114" s="8">
        <v>37.0</v>
      </c>
      <c r="E1114" s="8">
        <v>40.0</v>
      </c>
      <c r="F1114" s="8">
        <v>49.0</v>
      </c>
      <c r="G1114" s="8">
        <v>52.0</v>
      </c>
      <c r="H1114" s="9">
        <v>31.0</v>
      </c>
      <c r="I1114" s="4">
        <v>45610.0</v>
      </c>
      <c r="J1114" s="5" t="s">
        <v>2219</v>
      </c>
      <c r="K1114" s="10" t="s">
        <v>2220</v>
      </c>
    </row>
    <row r="1115">
      <c r="A1115" s="7">
        <v>1114.0</v>
      </c>
      <c r="B1115" s="8">
        <v>16.0</v>
      </c>
      <c r="C1115" s="8">
        <v>22.0</v>
      </c>
      <c r="D1115" s="8">
        <v>33.0</v>
      </c>
      <c r="E1115" s="8">
        <v>37.0</v>
      </c>
      <c r="F1115" s="8">
        <v>39.0</v>
      </c>
      <c r="G1115" s="8">
        <v>51.0</v>
      </c>
      <c r="H1115" s="9">
        <v>54.0</v>
      </c>
      <c r="I1115" s="4">
        <v>45612.0</v>
      </c>
      <c r="J1115" s="5" t="s">
        <v>2221</v>
      </c>
      <c r="K1115" s="11" t="s">
        <v>2222</v>
      </c>
    </row>
    <row r="1116">
      <c r="A1116" s="7">
        <v>1115.0</v>
      </c>
      <c r="B1116" s="8">
        <v>6.0</v>
      </c>
      <c r="C1116" s="8">
        <v>10.0</v>
      </c>
      <c r="D1116" s="8">
        <v>17.0</v>
      </c>
      <c r="E1116" s="8">
        <v>34.0</v>
      </c>
      <c r="F1116" s="8">
        <v>41.0</v>
      </c>
      <c r="G1116" s="8">
        <v>48.0</v>
      </c>
      <c r="H1116" s="9">
        <v>31.0</v>
      </c>
      <c r="I1116" s="4">
        <v>45615.0</v>
      </c>
      <c r="J1116" s="5" t="s">
        <v>2223</v>
      </c>
      <c r="K1116" s="12" t="s">
        <v>2224</v>
      </c>
    </row>
    <row r="1117">
      <c r="A1117" s="7">
        <v>1116.0</v>
      </c>
      <c r="B1117" s="8">
        <v>15.0</v>
      </c>
      <c r="C1117" s="8">
        <v>22.0</v>
      </c>
      <c r="D1117" s="8">
        <v>31.0</v>
      </c>
      <c r="E1117" s="8">
        <v>40.0</v>
      </c>
      <c r="F1117" s="8">
        <v>42.0</v>
      </c>
      <c r="G1117" s="8">
        <v>51.0</v>
      </c>
      <c r="H1117" s="9">
        <v>26.0</v>
      </c>
      <c r="I1117" s="4">
        <v>45617.0</v>
      </c>
      <c r="J1117" s="5" t="s">
        <v>2225</v>
      </c>
      <c r="K1117" s="11" t="s">
        <v>2226</v>
      </c>
    </row>
    <row r="1118">
      <c r="A1118" s="7">
        <v>1117.0</v>
      </c>
      <c r="B1118" s="8">
        <v>4.0</v>
      </c>
      <c r="C1118" s="8">
        <v>12.0</v>
      </c>
      <c r="D1118" s="8">
        <v>25.0</v>
      </c>
      <c r="E1118" s="8">
        <v>39.0</v>
      </c>
      <c r="F1118" s="8">
        <v>48.0</v>
      </c>
      <c r="G1118" s="8">
        <v>51.0</v>
      </c>
      <c r="H1118" s="9">
        <v>45.0</v>
      </c>
      <c r="I1118" s="4">
        <v>45619.0</v>
      </c>
      <c r="J1118" s="5" t="s">
        <v>2227</v>
      </c>
      <c r="K1118" s="10" t="s">
        <v>2228</v>
      </c>
    </row>
    <row r="1119">
      <c r="A1119" s="7">
        <v>1118.0</v>
      </c>
      <c r="B1119" s="8">
        <v>8.0</v>
      </c>
      <c r="C1119" s="8">
        <v>11.0</v>
      </c>
      <c r="D1119" s="8">
        <v>16.0</v>
      </c>
      <c r="E1119" s="8">
        <v>32.0</v>
      </c>
      <c r="F1119" s="8">
        <v>40.0</v>
      </c>
      <c r="G1119" s="8">
        <v>43.0</v>
      </c>
      <c r="H1119" s="9">
        <v>12.0</v>
      </c>
      <c r="I1119" s="4">
        <v>45622.0</v>
      </c>
      <c r="J1119" s="5" t="s">
        <v>2229</v>
      </c>
      <c r="K1119" s="13" t="s">
        <v>2230</v>
      </c>
    </row>
    <row r="1120">
      <c r="A1120" s="7">
        <v>1119.0</v>
      </c>
      <c r="B1120" s="8">
        <v>1.0</v>
      </c>
      <c r="C1120" s="8">
        <v>16.0</v>
      </c>
      <c r="D1120" s="8">
        <v>24.0</v>
      </c>
      <c r="E1120" s="8">
        <v>28.0</v>
      </c>
      <c r="F1120" s="8">
        <v>38.0</v>
      </c>
      <c r="G1120" s="8">
        <v>53.0</v>
      </c>
      <c r="H1120" s="9">
        <v>9.0</v>
      </c>
      <c r="I1120" s="4">
        <v>45624.0</v>
      </c>
      <c r="J1120" s="5" t="s">
        <v>2231</v>
      </c>
      <c r="K1120" s="10" t="s">
        <v>2232</v>
      </c>
    </row>
    <row r="1121">
      <c r="A1121" s="7">
        <v>1120.0</v>
      </c>
      <c r="B1121" s="8">
        <v>1.0</v>
      </c>
      <c r="C1121" s="8">
        <v>20.0</v>
      </c>
      <c r="D1121" s="8">
        <v>24.0</v>
      </c>
      <c r="E1121" s="8">
        <v>26.0</v>
      </c>
      <c r="F1121" s="8">
        <v>38.0</v>
      </c>
      <c r="G1121" s="8">
        <v>41.0</v>
      </c>
      <c r="H1121" s="9">
        <v>36.0</v>
      </c>
      <c r="I1121" s="4">
        <v>45626.0</v>
      </c>
      <c r="J1121" s="5" t="s">
        <v>2233</v>
      </c>
      <c r="K1121" s="11" t="s">
        <v>2234</v>
      </c>
    </row>
    <row r="1122">
      <c r="A1122" s="7">
        <v>1121.0</v>
      </c>
      <c r="B1122" s="8">
        <v>10.0</v>
      </c>
      <c r="C1122" s="8">
        <v>19.0</v>
      </c>
      <c r="D1122" s="8">
        <v>33.0</v>
      </c>
      <c r="E1122" s="8">
        <v>39.0</v>
      </c>
      <c r="F1122" s="8">
        <v>47.0</v>
      </c>
      <c r="G1122" s="8">
        <v>54.0</v>
      </c>
      <c r="H1122" s="9">
        <v>16.0</v>
      </c>
      <c r="I1122" s="4">
        <v>45629.0</v>
      </c>
      <c r="J1122" s="5" t="s">
        <v>2235</v>
      </c>
      <c r="K1122" s="10" t="s">
        <v>2236</v>
      </c>
    </row>
    <row r="1123">
      <c r="A1123" s="7">
        <v>1122.0</v>
      </c>
      <c r="B1123" s="8">
        <v>16.0</v>
      </c>
      <c r="C1123" s="8">
        <v>21.0</v>
      </c>
      <c r="D1123" s="8">
        <v>29.0</v>
      </c>
      <c r="E1123" s="8">
        <v>41.0</v>
      </c>
      <c r="F1123" s="8">
        <v>42.0</v>
      </c>
      <c r="G1123" s="8">
        <v>47.0</v>
      </c>
      <c r="H1123" s="9">
        <v>9.0</v>
      </c>
      <c r="I1123" s="4">
        <v>45631.0</v>
      </c>
      <c r="J1123" s="5" t="s">
        <v>2237</v>
      </c>
      <c r="K1123" s="11" t="s">
        <v>2238</v>
      </c>
    </row>
    <row r="1124">
      <c r="A1124" s="7">
        <v>1123.0</v>
      </c>
      <c r="B1124" s="8">
        <v>16.0</v>
      </c>
      <c r="C1124" s="8">
        <v>17.0</v>
      </c>
      <c r="D1124" s="8">
        <v>22.0</v>
      </c>
      <c r="E1124" s="8">
        <v>24.0</v>
      </c>
      <c r="F1124" s="8">
        <v>29.0</v>
      </c>
      <c r="G1124" s="8">
        <v>37.0</v>
      </c>
      <c r="H1124" s="9">
        <v>54.0</v>
      </c>
      <c r="I1124" s="4">
        <v>45633.0</v>
      </c>
      <c r="J1124" s="5" t="s">
        <v>2239</v>
      </c>
      <c r="K1124" s="10" t="s">
        <v>2240</v>
      </c>
    </row>
    <row r="1125">
      <c r="A1125" s="7">
        <v>1124.0</v>
      </c>
      <c r="B1125" s="8">
        <v>11.0</v>
      </c>
      <c r="C1125" s="8">
        <v>15.0</v>
      </c>
      <c r="D1125" s="8">
        <v>26.0</v>
      </c>
      <c r="E1125" s="8">
        <v>45.0</v>
      </c>
      <c r="F1125" s="8">
        <v>52.0</v>
      </c>
      <c r="G1125" s="8">
        <v>55.0</v>
      </c>
      <c r="H1125" s="9">
        <v>36.0</v>
      </c>
      <c r="I1125" s="4">
        <v>45636.0</v>
      </c>
      <c r="J1125" s="5" t="s">
        <v>2241</v>
      </c>
      <c r="K1125" s="11" t="s">
        <v>2242</v>
      </c>
    </row>
    <row r="1126">
      <c r="A1126" s="7">
        <v>1125.0</v>
      </c>
      <c r="B1126" s="8">
        <v>1.0</v>
      </c>
      <c r="C1126" s="8">
        <v>9.0</v>
      </c>
      <c r="D1126" s="8">
        <v>12.0</v>
      </c>
      <c r="E1126" s="8">
        <v>18.0</v>
      </c>
      <c r="F1126" s="8">
        <v>37.0</v>
      </c>
      <c r="G1126" s="8">
        <v>44.0</v>
      </c>
      <c r="H1126" s="9">
        <v>11.0</v>
      </c>
      <c r="I1126" s="4">
        <v>45638.0</v>
      </c>
      <c r="J1126" s="5" t="s">
        <v>2243</v>
      </c>
      <c r="K1126" s="12" t="s">
        <v>2244</v>
      </c>
    </row>
    <row r="1127">
      <c r="A1127" s="7">
        <v>1126.0</v>
      </c>
      <c r="B1127" s="8">
        <v>3.0</v>
      </c>
      <c r="C1127" s="8">
        <v>10.0</v>
      </c>
      <c r="D1127" s="8">
        <v>19.0</v>
      </c>
      <c r="E1127" s="8">
        <v>20.0</v>
      </c>
      <c r="F1127" s="8">
        <v>21.0</v>
      </c>
      <c r="G1127" s="8">
        <v>24.0</v>
      </c>
      <c r="H1127" s="9">
        <v>7.0</v>
      </c>
      <c r="I1127" s="4">
        <v>45640.0</v>
      </c>
      <c r="J1127" s="5" t="s">
        <v>2245</v>
      </c>
      <c r="K1127" s="13" t="s">
        <v>2246</v>
      </c>
    </row>
    <row r="1128">
      <c r="A1128" s="7">
        <v>1127.0</v>
      </c>
      <c r="B1128" s="8">
        <v>2.0</v>
      </c>
      <c r="C1128" s="8">
        <v>14.0</v>
      </c>
      <c r="D1128" s="8">
        <v>27.0</v>
      </c>
      <c r="E1128" s="8">
        <v>30.0</v>
      </c>
      <c r="F1128" s="8">
        <v>53.0</v>
      </c>
      <c r="G1128" s="8">
        <v>54.0</v>
      </c>
      <c r="H1128" s="9">
        <v>16.0</v>
      </c>
      <c r="I1128" s="4">
        <v>45643.0</v>
      </c>
      <c r="J1128" s="5" t="s">
        <v>2247</v>
      </c>
      <c r="K1128" s="10" t="s">
        <v>2248</v>
      </c>
    </row>
    <row r="1129">
      <c r="A1129" s="7">
        <v>1128.0</v>
      </c>
      <c r="B1129" s="8">
        <v>13.0</v>
      </c>
      <c r="C1129" s="8">
        <v>16.0</v>
      </c>
      <c r="D1129" s="8">
        <v>32.0</v>
      </c>
      <c r="E1129" s="8">
        <v>39.0</v>
      </c>
      <c r="F1129" s="8">
        <v>49.0</v>
      </c>
      <c r="G1129" s="8">
        <v>51.0</v>
      </c>
      <c r="H1129" s="9">
        <v>11.0</v>
      </c>
      <c r="I1129" s="4">
        <v>45645.0</v>
      </c>
      <c r="J1129" s="5" t="s">
        <v>2249</v>
      </c>
      <c r="K1129" s="13" t="s">
        <v>2250</v>
      </c>
    </row>
    <row r="1130">
      <c r="A1130" s="7">
        <v>1129.0</v>
      </c>
      <c r="B1130" s="8">
        <v>4.0</v>
      </c>
      <c r="C1130" s="8">
        <v>16.0</v>
      </c>
      <c r="D1130" s="8">
        <v>29.0</v>
      </c>
      <c r="E1130" s="8">
        <v>30.0</v>
      </c>
      <c r="F1130" s="8">
        <v>35.0</v>
      </c>
      <c r="G1130" s="8">
        <v>51.0</v>
      </c>
      <c r="H1130" s="9">
        <v>48.0</v>
      </c>
      <c r="I1130" s="4">
        <v>45647.0</v>
      </c>
      <c r="J1130" s="5" t="s">
        <v>2251</v>
      </c>
      <c r="K1130" s="12" t="s">
        <v>2252</v>
      </c>
    </row>
    <row r="1131">
      <c r="A1131" s="7">
        <v>1130.0</v>
      </c>
      <c r="B1131" s="8">
        <v>17.0</v>
      </c>
      <c r="C1131" s="8">
        <v>20.0</v>
      </c>
      <c r="D1131" s="8">
        <v>27.0</v>
      </c>
      <c r="E1131" s="8">
        <v>32.0</v>
      </c>
      <c r="F1131" s="8">
        <v>44.0</v>
      </c>
      <c r="G1131" s="8">
        <v>51.0</v>
      </c>
      <c r="H1131" s="9">
        <v>33.0</v>
      </c>
      <c r="I1131" s="4">
        <v>45650.0</v>
      </c>
      <c r="J1131" s="5" t="s">
        <v>2253</v>
      </c>
      <c r="K1131" s="11" t="s">
        <v>2254</v>
      </c>
    </row>
    <row r="1132">
      <c r="A1132" s="7">
        <v>1131.0</v>
      </c>
      <c r="B1132" s="8">
        <v>6.0</v>
      </c>
      <c r="C1132" s="8">
        <v>18.0</v>
      </c>
      <c r="D1132" s="8">
        <v>33.0</v>
      </c>
      <c r="E1132" s="8">
        <v>38.0</v>
      </c>
      <c r="F1132" s="8">
        <v>41.0</v>
      </c>
      <c r="G1132" s="8">
        <v>48.0</v>
      </c>
      <c r="H1132" s="9">
        <v>16.0</v>
      </c>
      <c r="I1132" s="4">
        <v>45652.0</v>
      </c>
      <c r="J1132" s="5" t="s">
        <v>2255</v>
      </c>
      <c r="K1132" s="12" t="s">
        <v>2256</v>
      </c>
    </row>
    <row r="1133">
      <c r="A1133" s="7">
        <v>1132.0</v>
      </c>
      <c r="B1133" s="8">
        <v>6.0</v>
      </c>
      <c r="C1133" s="8">
        <v>19.0</v>
      </c>
      <c r="D1133" s="8">
        <v>36.0</v>
      </c>
      <c r="E1133" s="8">
        <v>42.0</v>
      </c>
      <c r="F1133" s="8">
        <v>53.0</v>
      </c>
      <c r="G1133" s="8">
        <v>55.0</v>
      </c>
      <c r="H1133" s="9">
        <v>39.0</v>
      </c>
      <c r="I1133" s="4">
        <v>45654.0</v>
      </c>
      <c r="J1133" s="5" t="s">
        <v>2257</v>
      </c>
      <c r="K1133" s="11" t="s">
        <v>2258</v>
      </c>
    </row>
    <row r="1134">
      <c r="A1134" s="7">
        <v>1133.0</v>
      </c>
      <c r="B1134" s="8">
        <v>8.0</v>
      </c>
      <c r="C1134" s="8">
        <v>13.0</v>
      </c>
      <c r="D1134" s="8">
        <v>29.0</v>
      </c>
      <c r="E1134" s="8">
        <v>36.0</v>
      </c>
      <c r="F1134" s="8">
        <v>42.0</v>
      </c>
      <c r="G1134" s="8">
        <v>43.0</v>
      </c>
      <c r="H1134" s="9">
        <v>28.0</v>
      </c>
      <c r="I1134" s="4">
        <v>45657.0</v>
      </c>
      <c r="J1134" s="5" t="s">
        <v>2259</v>
      </c>
      <c r="K1134" s="10" t="s">
        <v>2260</v>
      </c>
    </row>
    <row r="1135">
      <c r="A1135" s="7">
        <v>1134.0</v>
      </c>
      <c r="B1135" s="8">
        <v>4.0</v>
      </c>
      <c r="C1135" s="8">
        <v>10.0</v>
      </c>
      <c r="D1135" s="8">
        <v>18.0</v>
      </c>
      <c r="E1135" s="8">
        <v>22.0</v>
      </c>
      <c r="F1135" s="8">
        <v>41.0</v>
      </c>
      <c r="G1135" s="8">
        <v>45.0</v>
      </c>
      <c r="H1135" s="9">
        <v>50.0</v>
      </c>
      <c r="I1135" s="4">
        <v>45659.0</v>
      </c>
      <c r="J1135" s="5" t="s">
        <v>2261</v>
      </c>
      <c r="K1135" s="13" t="s">
        <v>2262</v>
      </c>
    </row>
    <row r="1136">
      <c r="A1136" s="7">
        <v>1135.0</v>
      </c>
      <c r="B1136" s="8">
        <v>4.0</v>
      </c>
      <c r="C1136" s="8">
        <v>10.0</v>
      </c>
      <c r="D1136" s="8">
        <v>30.0</v>
      </c>
      <c r="E1136" s="8">
        <v>36.0</v>
      </c>
      <c r="F1136" s="8">
        <v>40.0</v>
      </c>
      <c r="G1136" s="8">
        <v>53.0</v>
      </c>
      <c r="H1136" s="9">
        <v>51.0</v>
      </c>
      <c r="I1136" s="4">
        <v>45661.0</v>
      </c>
      <c r="J1136" s="5" t="s">
        <v>2263</v>
      </c>
      <c r="K1136" s="10" t="s">
        <v>2264</v>
      </c>
    </row>
    <row r="1137">
      <c r="A1137" s="7">
        <v>1136.0</v>
      </c>
      <c r="B1137" s="8">
        <v>4.0</v>
      </c>
      <c r="C1137" s="8">
        <v>5.0</v>
      </c>
      <c r="D1137" s="8">
        <v>9.0</v>
      </c>
      <c r="E1137" s="8">
        <v>16.0</v>
      </c>
      <c r="F1137" s="8">
        <v>22.0</v>
      </c>
      <c r="G1137" s="8">
        <v>39.0</v>
      </c>
      <c r="H1137" s="9">
        <v>30.0</v>
      </c>
      <c r="I1137" s="4">
        <v>45664.0</v>
      </c>
      <c r="J1137" s="5" t="s">
        <v>2265</v>
      </c>
      <c r="K1137" s="11" t="s">
        <v>2266</v>
      </c>
    </row>
    <row r="1138">
      <c r="A1138" s="7">
        <v>1137.0</v>
      </c>
      <c r="B1138" s="8">
        <v>18.0</v>
      </c>
      <c r="C1138" s="8">
        <v>21.0</v>
      </c>
      <c r="D1138" s="8">
        <v>31.0</v>
      </c>
      <c r="E1138" s="8">
        <v>39.0</v>
      </c>
      <c r="F1138" s="8">
        <v>50.0</v>
      </c>
      <c r="G1138" s="8">
        <v>53.0</v>
      </c>
      <c r="H1138" s="9">
        <v>13.0</v>
      </c>
      <c r="I1138" s="4">
        <v>45666.0</v>
      </c>
      <c r="J1138" s="5" t="s">
        <v>2267</v>
      </c>
      <c r="K1138" s="10" t="s">
        <v>2268</v>
      </c>
    </row>
    <row r="1139">
      <c r="A1139" s="7">
        <v>1138.0</v>
      </c>
      <c r="B1139" s="8">
        <v>10.0</v>
      </c>
      <c r="C1139" s="8">
        <v>25.0</v>
      </c>
      <c r="D1139" s="8">
        <v>26.0</v>
      </c>
      <c r="E1139" s="8">
        <v>29.0</v>
      </c>
      <c r="F1139" s="8">
        <v>37.0</v>
      </c>
      <c r="G1139" s="8">
        <v>46.0</v>
      </c>
      <c r="H1139" s="9">
        <v>14.0</v>
      </c>
      <c r="I1139" s="4">
        <v>45668.0</v>
      </c>
      <c r="J1139" s="5" t="s">
        <v>2269</v>
      </c>
      <c r="K1139" s="11" t="s">
        <v>2270</v>
      </c>
    </row>
    <row r="1140">
      <c r="A1140" s="7">
        <v>1139.0</v>
      </c>
      <c r="B1140" s="8">
        <v>3.0</v>
      </c>
      <c r="C1140" s="8">
        <v>11.0</v>
      </c>
      <c r="D1140" s="8">
        <v>12.0</v>
      </c>
      <c r="E1140" s="8">
        <v>24.0</v>
      </c>
      <c r="F1140" s="8">
        <v>33.0</v>
      </c>
      <c r="G1140" s="8">
        <v>40.0</v>
      </c>
      <c r="H1140" s="9">
        <v>46.0</v>
      </c>
      <c r="I1140" s="4">
        <v>45671.0</v>
      </c>
      <c r="J1140" s="5" t="s">
        <v>2271</v>
      </c>
      <c r="K1140" s="10" t="s">
        <v>2272</v>
      </c>
    </row>
    <row r="1141">
      <c r="A1141" s="7">
        <v>1140.0</v>
      </c>
      <c r="B1141" s="8">
        <v>8.0</v>
      </c>
      <c r="C1141" s="8">
        <v>16.0</v>
      </c>
      <c r="D1141" s="8">
        <v>34.0</v>
      </c>
      <c r="E1141" s="8">
        <v>37.0</v>
      </c>
      <c r="F1141" s="8">
        <v>47.0</v>
      </c>
      <c r="G1141" s="8">
        <v>50.0</v>
      </c>
      <c r="H1141" s="9">
        <v>23.0</v>
      </c>
      <c r="I1141" s="4">
        <v>45673.0</v>
      </c>
      <c r="J1141" s="5" t="s">
        <v>2273</v>
      </c>
      <c r="K1141" s="11" t="s">
        <v>2274</v>
      </c>
    </row>
    <row r="1142">
      <c r="A1142" s="7">
        <v>1141.0</v>
      </c>
      <c r="B1142" s="8">
        <v>1.0</v>
      </c>
      <c r="C1142" s="8">
        <v>3.0</v>
      </c>
      <c r="D1142" s="8">
        <v>26.0</v>
      </c>
      <c r="E1142" s="8">
        <v>31.0</v>
      </c>
      <c r="F1142" s="8">
        <v>37.0</v>
      </c>
      <c r="G1142" s="8">
        <v>41.0</v>
      </c>
      <c r="H1142" s="9">
        <v>51.0</v>
      </c>
      <c r="I1142" s="4">
        <v>45675.0</v>
      </c>
      <c r="J1142" s="5" t="s">
        <v>2275</v>
      </c>
      <c r="K1142" s="10" t="s">
        <v>2276</v>
      </c>
    </row>
    <row r="1143">
      <c r="A1143" s="7">
        <v>1142.0</v>
      </c>
      <c r="B1143" s="8">
        <v>11.0</v>
      </c>
      <c r="C1143" s="8">
        <v>18.0</v>
      </c>
      <c r="D1143" s="8">
        <v>22.0</v>
      </c>
      <c r="E1143" s="8">
        <v>28.0</v>
      </c>
      <c r="F1143" s="8">
        <v>51.0</v>
      </c>
      <c r="G1143" s="8">
        <v>52.0</v>
      </c>
      <c r="H1143" s="9">
        <v>53.0</v>
      </c>
      <c r="I1143" s="4">
        <v>45678.0</v>
      </c>
      <c r="J1143" s="5" t="s">
        <v>2277</v>
      </c>
      <c r="K1143" s="11" t="s">
        <v>2278</v>
      </c>
    </row>
    <row r="1144">
      <c r="A1144" s="7">
        <v>1143.0</v>
      </c>
      <c r="B1144" s="8">
        <v>11.0</v>
      </c>
      <c r="C1144" s="8">
        <v>18.0</v>
      </c>
      <c r="D1144" s="8">
        <v>22.0</v>
      </c>
      <c r="E1144" s="8">
        <v>49.0</v>
      </c>
      <c r="F1144" s="8">
        <v>50.0</v>
      </c>
      <c r="G1144" s="8">
        <v>51.0</v>
      </c>
      <c r="H1144" s="9">
        <v>37.0</v>
      </c>
      <c r="I1144" s="4">
        <v>45680.0</v>
      </c>
      <c r="J1144" s="5" t="s">
        <v>2279</v>
      </c>
      <c r="K1144" s="10" t="s">
        <v>2280</v>
      </c>
    </row>
    <row r="1145">
      <c r="A1145" s="7">
        <v>1144.0</v>
      </c>
      <c r="B1145" s="8">
        <v>14.0</v>
      </c>
      <c r="C1145" s="8">
        <v>21.0</v>
      </c>
      <c r="D1145" s="8">
        <v>40.0</v>
      </c>
      <c r="E1145" s="8">
        <v>42.0</v>
      </c>
      <c r="F1145" s="8">
        <v>48.0</v>
      </c>
      <c r="G1145" s="8">
        <v>51.0</v>
      </c>
      <c r="H1145" s="9">
        <v>19.0</v>
      </c>
      <c r="I1145" s="4">
        <v>45682.0</v>
      </c>
      <c r="J1145" s="5" t="s">
        <v>2281</v>
      </c>
      <c r="K1145" s="11" t="s">
        <v>2282</v>
      </c>
    </row>
    <row r="1146">
      <c r="A1146" s="7">
        <v>1145.0</v>
      </c>
      <c r="B1146" s="8">
        <v>5.0</v>
      </c>
      <c r="C1146" s="8">
        <v>8.0</v>
      </c>
      <c r="D1146" s="8">
        <v>24.0</v>
      </c>
      <c r="E1146" s="8">
        <v>28.0</v>
      </c>
      <c r="F1146" s="8">
        <v>34.0</v>
      </c>
      <c r="G1146" s="8">
        <v>52.0</v>
      </c>
      <c r="H1146" s="9">
        <v>39.0</v>
      </c>
      <c r="I1146" s="4">
        <v>45687.0</v>
      </c>
      <c r="J1146" s="5" t="s">
        <v>2283</v>
      </c>
      <c r="K1146" s="10" t="s">
        <v>2284</v>
      </c>
    </row>
    <row r="1147">
      <c r="A1147" s="7">
        <v>1146.0</v>
      </c>
      <c r="B1147" s="8">
        <v>1.0</v>
      </c>
      <c r="C1147" s="8">
        <v>20.0</v>
      </c>
      <c r="D1147" s="8">
        <v>34.0</v>
      </c>
      <c r="E1147" s="8">
        <v>38.0</v>
      </c>
      <c r="F1147" s="8">
        <v>45.0</v>
      </c>
      <c r="G1147" s="8">
        <v>47.0</v>
      </c>
      <c r="H1147" s="9">
        <v>49.0</v>
      </c>
      <c r="I1147" s="4">
        <v>45689.0</v>
      </c>
      <c r="J1147" s="5" t="s">
        <v>2285</v>
      </c>
      <c r="K1147" s="11" t="s">
        <v>2286</v>
      </c>
    </row>
    <row r="1148">
      <c r="A1148" s="7">
        <v>1147.0</v>
      </c>
      <c r="B1148" s="8">
        <v>7.0</v>
      </c>
      <c r="C1148" s="8">
        <v>17.0</v>
      </c>
      <c r="D1148" s="8">
        <v>29.0</v>
      </c>
      <c r="E1148" s="8">
        <v>51.0</v>
      </c>
      <c r="F1148" s="8">
        <v>52.0</v>
      </c>
      <c r="G1148" s="8">
        <v>55.0</v>
      </c>
      <c r="H1148" s="9">
        <v>41.0</v>
      </c>
      <c r="I1148" s="4">
        <v>45692.0</v>
      </c>
      <c r="J1148" s="5" t="s">
        <v>2287</v>
      </c>
      <c r="K1148" s="10" t="s">
        <v>2288</v>
      </c>
    </row>
    <row r="1149">
      <c r="A1149" s="7">
        <v>1148.0</v>
      </c>
      <c r="B1149" s="8">
        <v>1.0</v>
      </c>
      <c r="C1149" s="8">
        <v>11.0</v>
      </c>
      <c r="D1149" s="8">
        <v>31.0</v>
      </c>
      <c r="E1149" s="8">
        <v>43.0</v>
      </c>
      <c r="F1149" s="8">
        <v>48.0</v>
      </c>
      <c r="G1149" s="8">
        <v>54.0</v>
      </c>
      <c r="H1149" s="9">
        <v>19.0</v>
      </c>
      <c r="I1149" s="4">
        <v>45694.0</v>
      </c>
      <c r="J1149" s="5" t="s">
        <v>2289</v>
      </c>
      <c r="K1149" s="11" t="s">
        <v>2290</v>
      </c>
    </row>
    <row r="1150">
      <c r="A1150" s="7">
        <v>1149.0</v>
      </c>
      <c r="B1150" s="8">
        <v>11.0</v>
      </c>
      <c r="C1150" s="8">
        <v>22.0</v>
      </c>
      <c r="D1150" s="8">
        <v>28.0</v>
      </c>
      <c r="E1150" s="8">
        <v>44.0</v>
      </c>
      <c r="F1150" s="8">
        <v>48.0</v>
      </c>
      <c r="G1150" s="8">
        <v>49.0</v>
      </c>
      <c r="H1150" s="9">
        <v>23.0</v>
      </c>
      <c r="I1150" s="4">
        <v>45696.0</v>
      </c>
      <c r="J1150" s="5" t="s">
        <v>2291</v>
      </c>
      <c r="K1150" s="10" t="s">
        <v>2292</v>
      </c>
    </row>
    <row r="1151">
      <c r="A1151" s="7">
        <v>1150.0</v>
      </c>
      <c r="B1151" s="8">
        <v>1.0</v>
      </c>
      <c r="C1151" s="8">
        <v>9.0</v>
      </c>
      <c r="D1151" s="8">
        <v>18.0</v>
      </c>
      <c r="E1151" s="8">
        <v>21.0</v>
      </c>
      <c r="F1151" s="8">
        <v>35.0</v>
      </c>
      <c r="G1151" s="8">
        <v>40.0</v>
      </c>
      <c r="H1151" s="9">
        <v>44.0</v>
      </c>
      <c r="I1151" s="4">
        <v>45699.0</v>
      </c>
      <c r="J1151" s="5" t="s">
        <v>2293</v>
      </c>
      <c r="K1151" s="11" t="s">
        <v>2294</v>
      </c>
    </row>
    <row r="1152">
      <c r="A1152" s="7">
        <v>1151.0</v>
      </c>
      <c r="B1152" s="8">
        <v>2.0</v>
      </c>
      <c r="C1152" s="8">
        <v>8.0</v>
      </c>
      <c r="D1152" s="8">
        <v>23.0</v>
      </c>
      <c r="E1152" s="8">
        <v>26.0</v>
      </c>
      <c r="F1152" s="8">
        <v>42.0</v>
      </c>
      <c r="G1152" s="8">
        <v>47.0</v>
      </c>
      <c r="H1152" s="9">
        <v>7.0</v>
      </c>
      <c r="I1152" s="4">
        <v>45701.0</v>
      </c>
      <c r="J1152" s="5" t="s">
        <v>2295</v>
      </c>
      <c r="K1152" s="10" t="s">
        <v>2296</v>
      </c>
    </row>
    <row r="1153">
      <c r="A1153" s="7">
        <v>1152.0</v>
      </c>
      <c r="B1153" s="8">
        <v>22.0</v>
      </c>
      <c r="C1153" s="8">
        <v>37.0</v>
      </c>
      <c r="D1153" s="8">
        <v>38.0</v>
      </c>
      <c r="E1153" s="8">
        <v>47.0</v>
      </c>
      <c r="F1153" s="8">
        <v>51.0</v>
      </c>
      <c r="G1153" s="8">
        <v>55.0</v>
      </c>
      <c r="H1153" s="9">
        <v>31.0</v>
      </c>
      <c r="I1153" s="4">
        <v>45703.0</v>
      </c>
      <c r="J1153" s="5" t="s">
        <v>2297</v>
      </c>
      <c r="K1153" s="11" t="s">
        <v>2298</v>
      </c>
    </row>
    <row r="1154">
      <c r="A1154" s="7">
        <v>1153.0</v>
      </c>
      <c r="B1154" s="8">
        <v>12.0</v>
      </c>
      <c r="C1154" s="8">
        <v>13.0</v>
      </c>
      <c r="D1154" s="8">
        <v>30.0</v>
      </c>
      <c r="E1154" s="8">
        <v>38.0</v>
      </c>
      <c r="F1154" s="8">
        <v>40.0</v>
      </c>
      <c r="G1154" s="8">
        <v>47.0</v>
      </c>
      <c r="H1154" s="9">
        <v>42.0</v>
      </c>
      <c r="I1154" s="4">
        <v>45706.0</v>
      </c>
      <c r="J1154" s="5" t="s">
        <v>2299</v>
      </c>
      <c r="K1154" s="12" t="s">
        <v>2300</v>
      </c>
    </row>
    <row r="1155">
      <c r="A1155" s="7">
        <v>1154.0</v>
      </c>
      <c r="B1155" s="8">
        <v>13.0</v>
      </c>
      <c r="C1155" s="8">
        <v>17.0</v>
      </c>
      <c r="D1155" s="8">
        <v>20.0</v>
      </c>
      <c r="E1155" s="8">
        <v>27.0</v>
      </c>
      <c r="F1155" s="8">
        <v>36.0</v>
      </c>
      <c r="G1155" s="8">
        <v>54.0</v>
      </c>
      <c r="H1155" s="9">
        <v>47.0</v>
      </c>
      <c r="I1155" s="4">
        <v>45708.0</v>
      </c>
      <c r="J1155" s="5" t="s">
        <v>2301</v>
      </c>
      <c r="K1155" s="11" t="s">
        <v>2302</v>
      </c>
    </row>
    <row r="1156">
      <c r="A1156" s="7">
        <v>1155.0</v>
      </c>
      <c r="B1156" s="8">
        <v>1.0</v>
      </c>
      <c r="C1156" s="8">
        <v>2.0</v>
      </c>
      <c r="D1156" s="8">
        <v>7.0</v>
      </c>
      <c r="E1156" s="8">
        <v>22.0</v>
      </c>
      <c r="F1156" s="8">
        <v>23.0</v>
      </c>
      <c r="G1156" s="8">
        <v>46.0</v>
      </c>
      <c r="H1156" s="9">
        <v>50.0</v>
      </c>
      <c r="I1156" s="4">
        <v>45710.0</v>
      </c>
      <c r="J1156" s="5" t="s">
        <v>2303</v>
      </c>
      <c r="K1156" s="10" t="s">
        <v>2304</v>
      </c>
    </row>
    <row r="1157">
      <c r="A1157" s="7">
        <v>1156.0</v>
      </c>
      <c r="B1157" s="8">
        <v>1.0</v>
      </c>
      <c r="C1157" s="8">
        <v>7.0</v>
      </c>
      <c r="D1157" s="8">
        <v>11.0</v>
      </c>
      <c r="E1157" s="8">
        <v>24.0</v>
      </c>
      <c r="F1157" s="8">
        <v>29.0</v>
      </c>
      <c r="G1157" s="8">
        <v>30.0</v>
      </c>
      <c r="H1157" s="9">
        <v>48.0</v>
      </c>
      <c r="I1157" s="4">
        <v>45713.0</v>
      </c>
      <c r="J1157" s="5" t="s">
        <v>2305</v>
      </c>
      <c r="K1157" s="13" t="s">
        <v>2306</v>
      </c>
    </row>
    <row r="1158">
      <c r="A1158" s="7">
        <v>1157.0</v>
      </c>
      <c r="B1158" s="8">
        <v>5.0</v>
      </c>
      <c r="C1158" s="8">
        <v>9.0</v>
      </c>
      <c r="D1158" s="8">
        <v>21.0</v>
      </c>
      <c r="E1158" s="8">
        <v>31.0</v>
      </c>
      <c r="F1158" s="8">
        <v>43.0</v>
      </c>
      <c r="G1158" s="8">
        <v>53.0</v>
      </c>
      <c r="H1158" s="9">
        <v>11.0</v>
      </c>
      <c r="I1158" s="4">
        <v>45715.0</v>
      </c>
      <c r="J1158" s="5" t="s">
        <v>2307</v>
      </c>
      <c r="K1158" s="10" t="s">
        <v>2308</v>
      </c>
    </row>
    <row r="1159">
      <c r="A1159" s="7">
        <v>1158.0</v>
      </c>
      <c r="B1159" s="8">
        <v>15.0</v>
      </c>
      <c r="C1159" s="8">
        <v>17.0</v>
      </c>
      <c r="D1159" s="8">
        <v>34.0</v>
      </c>
      <c r="E1159" s="8">
        <v>37.0</v>
      </c>
      <c r="F1159" s="8">
        <v>39.0</v>
      </c>
      <c r="G1159" s="8">
        <v>45.0</v>
      </c>
      <c r="H1159" s="9">
        <v>41.0</v>
      </c>
      <c r="I1159" s="4">
        <v>45717.0</v>
      </c>
      <c r="J1159" s="5" t="s">
        <v>2309</v>
      </c>
      <c r="K1159" s="13" t="s">
        <v>2310</v>
      </c>
    </row>
    <row r="1160">
      <c r="A1160" s="7">
        <v>1159.0</v>
      </c>
      <c r="B1160" s="8">
        <v>5.0</v>
      </c>
      <c r="C1160" s="8">
        <v>14.0</v>
      </c>
      <c r="D1160" s="8">
        <v>27.0</v>
      </c>
      <c r="E1160" s="8">
        <v>43.0</v>
      </c>
      <c r="F1160" s="8">
        <v>45.0</v>
      </c>
      <c r="G1160" s="8">
        <v>53.0</v>
      </c>
      <c r="H1160" s="9">
        <v>47.0</v>
      </c>
      <c r="I1160" s="4">
        <v>45720.0</v>
      </c>
      <c r="J1160" s="5" t="s">
        <v>2311</v>
      </c>
      <c r="K1160" s="12" t="s">
        <v>2312</v>
      </c>
    </row>
    <row r="1161">
      <c r="A1161" s="7">
        <v>1160.0</v>
      </c>
      <c r="B1161" s="8">
        <v>5.0</v>
      </c>
      <c r="C1161" s="8">
        <v>10.0</v>
      </c>
      <c r="D1161" s="8">
        <v>21.0</v>
      </c>
      <c r="E1161" s="8">
        <v>26.0</v>
      </c>
      <c r="F1161" s="8">
        <v>43.0</v>
      </c>
      <c r="G1161" s="8">
        <v>51.0</v>
      </c>
      <c r="H1161" s="9">
        <v>15.0</v>
      </c>
      <c r="I1161" s="4">
        <v>45722.0</v>
      </c>
      <c r="J1161" s="5" t="s">
        <v>2313</v>
      </c>
      <c r="K1161" s="13" t="s">
        <v>2314</v>
      </c>
    </row>
    <row r="1162">
      <c r="A1162" s="7">
        <v>1161.0</v>
      </c>
      <c r="B1162" s="8">
        <v>10.0</v>
      </c>
      <c r="C1162" s="8">
        <v>38.0</v>
      </c>
      <c r="D1162" s="8">
        <v>41.0</v>
      </c>
      <c r="E1162" s="8">
        <v>43.0</v>
      </c>
      <c r="F1162" s="8">
        <v>45.0</v>
      </c>
      <c r="G1162" s="8">
        <v>48.0</v>
      </c>
      <c r="H1162" s="9">
        <v>8.0</v>
      </c>
      <c r="I1162" s="4">
        <v>45724.0</v>
      </c>
      <c r="J1162" s="5" t="s">
        <v>2315</v>
      </c>
      <c r="K1162" s="12" t="s">
        <v>2316</v>
      </c>
    </row>
    <row r="1163">
      <c r="A1163" s="7">
        <v>1162.0</v>
      </c>
      <c r="B1163" s="8">
        <v>1.0</v>
      </c>
      <c r="C1163" s="8">
        <v>16.0</v>
      </c>
      <c r="D1163" s="8">
        <v>18.0</v>
      </c>
      <c r="E1163" s="8">
        <v>30.0</v>
      </c>
      <c r="F1163" s="8">
        <v>31.0</v>
      </c>
      <c r="G1163" s="8">
        <v>44.0</v>
      </c>
      <c r="H1163" s="9">
        <v>34.0</v>
      </c>
      <c r="I1163" s="4">
        <v>45727.0</v>
      </c>
      <c r="J1163" s="5" t="s">
        <v>2317</v>
      </c>
      <c r="K1163" s="11" t="s">
        <v>2318</v>
      </c>
    </row>
    <row r="1164">
      <c r="A1164" s="7">
        <v>1163.0</v>
      </c>
      <c r="B1164" s="8">
        <v>7.0</v>
      </c>
      <c r="C1164" s="8">
        <v>13.0</v>
      </c>
      <c r="D1164" s="8">
        <v>21.0</v>
      </c>
      <c r="E1164" s="8">
        <v>43.0</v>
      </c>
      <c r="F1164" s="8">
        <v>52.0</v>
      </c>
      <c r="G1164" s="8">
        <v>53.0</v>
      </c>
      <c r="H1164" s="9">
        <v>17.0</v>
      </c>
      <c r="I1164" s="4">
        <v>45729.0</v>
      </c>
      <c r="J1164" s="5" t="s">
        <v>2319</v>
      </c>
      <c r="K1164" s="10" t="s">
        <v>2320</v>
      </c>
    </row>
    <row r="1165">
      <c r="A1165" s="7">
        <v>1164.0</v>
      </c>
      <c r="B1165" s="8">
        <v>1.0</v>
      </c>
      <c r="C1165" s="8">
        <v>34.0</v>
      </c>
      <c r="D1165" s="8">
        <v>39.0</v>
      </c>
      <c r="E1165" s="8">
        <v>40.0</v>
      </c>
      <c r="F1165" s="8">
        <v>42.0</v>
      </c>
      <c r="G1165" s="8">
        <v>50.0</v>
      </c>
      <c r="H1165" s="9">
        <v>25.0</v>
      </c>
      <c r="I1165" s="4">
        <v>45731.0</v>
      </c>
      <c r="J1165" s="5" t="s">
        <v>2321</v>
      </c>
      <c r="K1165" s="11" t="s">
        <v>2322</v>
      </c>
    </row>
    <row r="1166">
      <c r="A1166" s="7">
        <v>1165.0</v>
      </c>
      <c r="B1166" s="8">
        <v>2.0</v>
      </c>
      <c r="C1166" s="8">
        <v>8.0</v>
      </c>
      <c r="D1166" s="8">
        <v>29.0</v>
      </c>
      <c r="E1166" s="8">
        <v>30.0</v>
      </c>
      <c r="F1166" s="8">
        <v>50.0</v>
      </c>
      <c r="G1166" s="8">
        <v>55.0</v>
      </c>
      <c r="H1166" s="9">
        <v>27.0</v>
      </c>
      <c r="I1166" s="4">
        <v>45734.0</v>
      </c>
      <c r="J1166" s="5" t="s">
        <v>2323</v>
      </c>
      <c r="K1166" s="10" t="s">
        <v>2324</v>
      </c>
    </row>
    <row r="1167">
      <c r="A1167" s="7">
        <v>1166.0</v>
      </c>
      <c r="B1167" s="8">
        <v>11.0</v>
      </c>
      <c r="C1167" s="8">
        <v>13.0</v>
      </c>
      <c r="D1167" s="8">
        <v>24.0</v>
      </c>
      <c r="E1167" s="8">
        <v>28.0</v>
      </c>
      <c r="F1167" s="8">
        <v>36.0</v>
      </c>
      <c r="G1167" s="8">
        <v>41.0</v>
      </c>
      <c r="H1167" s="9">
        <v>37.0</v>
      </c>
      <c r="I1167" s="4">
        <v>45736.0</v>
      </c>
      <c r="J1167" s="5" t="s">
        <v>2325</v>
      </c>
      <c r="K1167" s="11" t="s">
        <v>2326</v>
      </c>
    </row>
    <row r="1168">
      <c r="A1168" s="7">
        <v>1167.0</v>
      </c>
      <c r="B1168" s="8">
        <v>2.0</v>
      </c>
      <c r="C1168" s="8">
        <v>23.0</v>
      </c>
      <c r="D1168" s="8">
        <v>42.0</v>
      </c>
      <c r="E1168" s="8">
        <v>50.0</v>
      </c>
      <c r="F1168" s="8">
        <v>52.0</v>
      </c>
      <c r="G1168" s="8">
        <v>54.0</v>
      </c>
      <c r="H1168" s="9">
        <v>44.0</v>
      </c>
      <c r="I1168" s="4">
        <v>45738.0</v>
      </c>
      <c r="J1168" s="5" t="s">
        <v>2327</v>
      </c>
      <c r="K1168" s="10" t="s">
        <v>2328</v>
      </c>
    </row>
    <row r="1169">
      <c r="A1169" s="7">
        <v>1168.0</v>
      </c>
      <c r="B1169" s="8">
        <v>14.0</v>
      </c>
      <c r="C1169" s="8">
        <v>23.0</v>
      </c>
      <c r="D1169" s="8">
        <v>29.0</v>
      </c>
      <c r="E1169" s="8">
        <v>30.0</v>
      </c>
      <c r="F1169" s="8">
        <v>35.0</v>
      </c>
      <c r="G1169" s="8">
        <v>40.0</v>
      </c>
      <c r="H1169" s="9">
        <v>17.0</v>
      </c>
      <c r="I1169" s="4">
        <v>45741.0</v>
      </c>
      <c r="J1169" s="5" t="s">
        <v>2329</v>
      </c>
      <c r="K1169" s="11" t="s">
        <v>2330</v>
      </c>
    </row>
    <row r="1170">
      <c r="A1170" s="7">
        <v>1169.0</v>
      </c>
      <c r="B1170" s="8">
        <v>13.0</v>
      </c>
      <c r="C1170" s="8">
        <v>25.0</v>
      </c>
      <c r="D1170" s="8">
        <v>32.0</v>
      </c>
      <c r="E1170" s="8">
        <v>36.0</v>
      </c>
      <c r="F1170" s="8">
        <v>41.0</v>
      </c>
      <c r="G1170" s="8">
        <v>53.0</v>
      </c>
      <c r="H1170" s="9">
        <v>29.0</v>
      </c>
      <c r="I1170" s="4">
        <v>45743.0</v>
      </c>
      <c r="J1170" s="5" t="s">
        <v>2331</v>
      </c>
      <c r="K1170" s="10" t="s">
        <v>2332</v>
      </c>
    </row>
    <row r="1171">
      <c r="A1171" s="7">
        <v>1170.0</v>
      </c>
      <c r="B1171" s="8">
        <v>14.0</v>
      </c>
      <c r="C1171" s="8">
        <v>19.0</v>
      </c>
      <c r="D1171" s="8">
        <v>21.0</v>
      </c>
      <c r="E1171" s="8">
        <v>24.0</v>
      </c>
      <c r="F1171" s="8">
        <v>26.0</v>
      </c>
      <c r="G1171" s="8">
        <v>48.0</v>
      </c>
      <c r="H1171" s="9">
        <v>39.0</v>
      </c>
      <c r="I1171" s="4">
        <v>45745.0</v>
      </c>
      <c r="J1171" s="5" t="s">
        <v>2333</v>
      </c>
      <c r="K1171" s="11" t="s">
        <v>2334</v>
      </c>
    </row>
    <row r="1172">
      <c r="A1172" s="7">
        <v>1171.0</v>
      </c>
      <c r="B1172" s="8">
        <v>14.0</v>
      </c>
      <c r="C1172" s="8">
        <v>15.0</v>
      </c>
      <c r="D1172" s="8">
        <v>29.0</v>
      </c>
      <c r="E1172" s="8">
        <v>33.0</v>
      </c>
      <c r="F1172" s="8">
        <v>39.0</v>
      </c>
      <c r="G1172" s="8">
        <v>47.0</v>
      </c>
      <c r="H1172" s="9">
        <v>4.0</v>
      </c>
      <c r="I1172" s="4">
        <v>45748.0</v>
      </c>
      <c r="J1172" s="5" t="s">
        <v>2335</v>
      </c>
      <c r="K1172" s="12" t="s">
        <v>2336</v>
      </c>
    </row>
    <row r="1173">
      <c r="A1173" s="7">
        <v>1172.0</v>
      </c>
      <c r="B1173" s="8">
        <v>24.0</v>
      </c>
      <c r="C1173" s="8">
        <v>26.0</v>
      </c>
      <c r="D1173" s="8">
        <v>34.0</v>
      </c>
      <c r="E1173" s="8">
        <v>42.0</v>
      </c>
      <c r="F1173" s="8">
        <v>50.0</v>
      </c>
      <c r="G1173" s="8">
        <v>51.0</v>
      </c>
      <c r="H1173" s="9">
        <v>30.0</v>
      </c>
      <c r="I1173" s="4">
        <v>45750.0</v>
      </c>
      <c r="J1173" s="5" t="s">
        <v>2337</v>
      </c>
      <c r="K1173" s="11" t="s">
        <v>2338</v>
      </c>
    </row>
    <row r="1174">
      <c r="A1174" s="7">
        <v>1173.0</v>
      </c>
      <c r="B1174" s="8">
        <v>13.0</v>
      </c>
      <c r="C1174" s="8">
        <v>23.0</v>
      </c>
      <c r="D1174" s="8">
        <v>29.0</v>
      </c>
      <c r="E1174" s="8">
        <v>32.0</v>
      </c>
      <c r="F1174" s="8">
        <v>41.0</v>
      </c>
      <c r="G1174" s="8">
        <v>42.0</v>
      </c>
      <c r="H1174" s="9">
        <v>9.0</v>
      </c>
      <c r="I1174" s="4">
        <v>45752.0</v>
      </c>
      <c r="J1174" s="5" t="s">
        <v>2339</v>
      </c>
      <c r="K1174" s="10" t="s">
        <v>2340</v>
      </c>
    </row>
    <row r="1175">
      <c r="A1175" s="7">
        <v>1174.0</v>
      </c>
      <c r="B1175" s="8">
        <v>3.0</v>
      </c>
      <c r="C1175" s="8">
        <v>7.0</v>
      </c>
      <c r="D1175" s="8">
        <v>34.0</v>
      </c>
      <c r="E1175" s="8">
        <v>41.0</v>
      </c>
      <c r="F1175" s="8">
        <v>43.0</v>
      </c>
      <c r="G1175" s="8">
        <v>53.0</v>
      </c>
      <c r="H1175" s="9">
        <v>31.0</v>
      </c>
      <c r="I1175" s="4">
        <v>45755.0</v>
      </c>
      <c r="J1175" s="5" t="s">
        <v>2341</v>
      </c>
      <c r="K1175" s="11" t="s">
        <v>2342</v>
      </c>
    </row>
    <row r="1176">
      <c r="A1176" s="7">
        <v>1175.0</v>
      </c>
      <c r="B1176" s="8">
        <v>10.0</v>
      </c>
      <c r="C1176" s="8">
        <v>13.0</v>
      </c>
      <c r="D1176" s="8">
        <v>36.0</v>
      </c>
      <c r="E1176" s="8">
        <v>37.0</v>
      </c>
      <c r="F1176" s="8">
        <v>40.0</v>
      </c>
      <c r="G1176" s="8">
        <v>43.0</v>
      </c>
      <c r="H1176" s="9">
        <v>41.0</v>
      </c>
      <c r="I1176" s="4">
        <v>45757.0</v>
      </c>
      <c r="J1176" s="5" t="s">
        <v>2343</v>
      </c>
      <c r="K1176" s="10" t="s">
        <v>2344</v>
      </c>
    </row>
    <row r="1177">
      <c r="A1177" s="7">
        <v>1176.0</v>
      </c>
      <c r="B1177" s="8">
        <v>3.0</v>
      </c>
      <c r="C1177" s="8">
        <v>14.0</v>
      </c>
      <c r="D1177" s="8">
        <v>19.0</v>
      </c>
      <c r="E1177" s="8">
        <v>37.0</v>
      </c>
      <c r="F1177" s="8">
        <v>42.0</v>
      </c>
      <c r="G1177" s="8">
        <v>55.0</v>
      </c>
      <c r="H1177" s="9">
        <v>23.0</v>
      </c>
      <c r="I1177" s="4">
        <v>45759.0</v>
      </c>
      <c r="J1177" s="5" t="s">
        <v>2345</v>
      </c>
      <c r="K1177" s="11" t="s">
        <v>2346</v>
      </c>
    </row>
    <row r="1178">
      <c r="A1178" s="7">
        <v>1177.0</v>
      </c>
      <c r="B1178" s="8">
        <v>8.0</v>
      </c>
      <c r="C1178" s="8">
        <v>23.0</v>
      </c>
      <c r="D1178" s="8">
        <v>24.0</v>
      </c>
      <c r="E1178" s="8">
        <v>27.0</v>
      </c>
      <c r="F1178" s="8">
        <v>42.0</v>
      </c>
      <c r="G1178" s="8">
        <v>49.0</v>
      </c>
      <c r="H1178" s="9">
        <v>20.0</v>
      </c>
      <c r="I1178" s="4">
        <v>45762.0</v>
      </c>
      <c r="J1178" s="5" t="s">
        <v>2347</v>
      </c>
      <c r="K1178" s="10" t="s">
        <v>2348</v>
      </c>
    </row>
    <row r="1179">
      <c r="A1179" s="7">
        <v>1178.0</v>
      </c>
      <c r="B1179" s="8">
        <v>1.0</v>
      </c>
      <c r="C1179" s="8">
        <v>17.0</v>
      </c>
      <c r="D1179" s="8">
        <v>20.0</v>
      </c>
      <c r="E1179" s="8">
        <v>38.0</v>
      </c>
      <c r="F1179" s="8">
        <v>41.0</v>
      </c>
      <c r="G1179" s="8">
        <v>52.0</v>
      </c>
      <c r="H1179" s="9">
        <v>14.0</v>
      </c>
      <c r="I1179" s="4">
        <v>45764.0</v>
      </c>
      <c r="J1179" s="5" t="s">
        <v>2349</v>
      </c>
      <c r="K1179" s="11" t="s">
        <v>2350</v>
      </c>
    </row>
    <row r="1180">
      <c r="A1180" s="7">
        <v>1179.0</v>
      </c>
      <c r="B1180" s="8">
        <v>5.0</v>
      </c>
      <c r="C1180" s="8">
        <v>11.0</v>
      </c>
      <c r="D1180" s="8">
        <v>15.0</v>
      </c>
      <c r="E1180" s="8">
        <v>32.0</v>
      </c>
      <c r="F1180" s="8">
        <v>42.0</v>
      </c>
      <c r="G1180" s="8">
        <v>49.0</v>
      </c>
      <c r="H1180" s="9">
        <v>43.0</v>
      </c>
      <c r="I1180" s="4">
        <v>45766.0</v>
      </c>
      <c r="J1180" s="5" t="s">
        <v>2351</v>
      </c>
      <c r="K1180" s="10" t="s">
        <v>2352</v>
      </c>
    </row>
    <row r="1181">
      <c r="A1181" s="7">
        <v>1180.0</v>
      </c>
      <c r="B1181" s="8">
        <v>10.0</v>
      </c>
      <c r="C1181" s="8">
        <v>25.0</v>
      </c>
      <c r="D1181" s="8">
        <v>37.0</v>
      </c>
      <c r="E1181" s="8">
        <v>40.0</v>
      </c>
      <c r="F1181" s="8">
        <v>41.0</v>
      </c>
      <c r="G1181" s="8">
        <v>48.0</v>
      </c>
      <c r="H1181" s="9">
        <v>32.0</v>
      </c>
      <c r="I1181" s="4">
        <v>45769.0</v>
      </c>
      <c r="J1181" s="5" t="s">
        <v>2353</v>
      </c>
      <c r="K1181" s="11" t="s">
        <v>2354</v>
      </c>
    </row>
    <row r="1182">
      <c r="A1182" s="7">
        <v>1181.0</v>
      </c>
      <c r="B1182" s="8">
        <v>1.0</v>
      </c>
      <c r="C1182" s="8">
        <v>2.0</v>
      </c>
      <c r="D1182" s="8">
        <v>15.0</v>
      </c>
      <c r="E1182" s="8">
        <v>39.0</v>
      </c>
      <c r="F1182" s="8">
        <v>40.0</v>
      </c>
      <c r="G1182" s="8">
        <v>47.0</v>
      </c>
      <c r="H1182" s="9">
        <v>24.0</v>
      </c>
      <c r="I1182" s="4">
        <v>45771.0</v>
      </c>
      <c r="J1182" s="5" t="s">
        <v>2355</v>
      </c>
      <c r="K1182" s="10" t="s">
        <v>2356</v>
      </c>
    </row>
    <row r="1183">
      <c r="A1183" s="7">
        <v>1182.0</v>
      </c>
      <c r="B1183" s="8">
        <v>3.0</v>
      </c>
      <c r="C1183" s="8">
        <v>15.0</v>
      </c>
      <c r="D1183" s="8">
        <v>16.0</v>
      </c>
      <c r="E1183" s="8">
        <v>31.0</v>
      </c>
      <c r="F1183" s="8">
        <v>48.0</v>
      </c>
      <c r="G1183" s="8">
        <v>52.0</v>
      </c>
      <c r="H1183" s="9">
        <v>21.0</v>
      </c>
      <c r="I1183" s="4">
        <v>45773.0</v>
      </c>
      <c r="J1183" s="5" t="s">
        <v>2357</v>
      </c>
      <c r="K1183" s="13" t="s">
        <v>2358</v>
      </c>
    </row>
    <row r="1184">
      <c r="A1184" s="7">
        <v>1183.0</v>
      </c>
      <c r="B1184" s="8">
        <v>14.0</v>
      </c>
      <c r="C1184" s="8">
        <v>15.0</v>
      </c>
      <c r="D1184" s="8">
        <v>18.0</v>
      </c>
      <c r="E1184" s="8">
        <v>23.0</v>
      </c>
      <c r="F1184" s="8">
        <v>28.0</v>
      </c>
      <c r="G1184" s="8">
        <v>33.0</v>
      </c>
      <c r="H1184" s="9">
        <v>29.0</v>
      </c>
      <c r="I1184" s="4">
        <v>45776.0</v>
      </c>
      <c r="J1184" s="5" t="s">
        <v>2359</v>
      </c>
      <c r="K1184" s="10" t="s">
        <v>2360</v>
      </c>
    </row>
    <row r="1185">
      <c r="A1185" s="7">
        <v>1184.0</v>
      </c>
      <c r="B1185" s="8">
        <v>3.0</v>
      </c>
      <c r="C1185" s="8">
        <v>17.0</v>
      </c>
      <c r="D1185" s="8">
        <v>19.0</v>
      </c>
      <c r="E1185" s="8">
        <v>41.0</v>
      </c>
      <c r="F1185" s="8">
        <v>45.0</v>
      </c>
      <c r="G1185" s="8">
        <v>50.0</v>
      </c>
      <c r="H1185" s="9">
        <v>43.0</v>
      </c>
      <c r="I1185" s="4">
        <v>45778.0</v>
      </c>
      <c r="J1185" s="5" t="s">
        <v>2361</v>
      </c>
      <c r="K1185" s="11" t="s">
        <v>2362</v>
      </c>
    </row>
    <row r="1186">
      <c r="A1186" s="7">
        <v>1185.0</v>
      </c>
      <c r="B1186" s="8">
        <v>15.0</v>
      </c>
      <c r="C1186" s="8">
        <v>19.0</v>
      </c>
      <c r="D1186" s="8">
        <v>21.0</v>
      </c>
      <c r="E1186" s="8">
        <v>26.0</v>
      </c>
      <c r="F1186" s="8">
        <v>42.0</v>
      </c>
      <c r="G1186" s="8">
        <v>47.0</v>
      </c>
      <c r="H1186" s="9">
        <v>38.0</v>
      </c>
      <c r="I1186" s="4">
        <v>45780.0</v>
      </c>
      <c r="J1186" s="5" t="s">
        <v>2363</v>
      </c>
      <c r="K1186" s="10" t="s">
        <v>2364</v>
      </c>
    </row>
    <row r="1187">
      <c r="A1187" s="7">
        <v>1186.0</v>
      </c>
      <c r="B1187" s="8">
        <v>12.0</v>
      </c>
      <c r="C1187" s="8">
        <v>16.0</v>
      </c>
      <c r="D1187" s="8">
        <v>25.0</v>
      </c>
      <c r="E1187" s="8">
        <v>28.0</v>
      </c>
      <c r="F1187" s="8">
        <v>30.0</v>
      </c>
      <c r="G1187" s="8">
        <v>39.0</v>
      </c>
      <c r="H1187" s="9">
        <v>5.0</v>
      </c>
      <c r="I1187" s="4">
        <v>45783.0</v>
      </c>
      <c r="J1187" s="5" t="s">
        <v>2365</v>
      </c>
      <c r="K1187" s="13" t="s">
        <v>2366</v>
      </c>
    </row>
    <row r="1188">
      <c r="A1188" s="7">
        <v>1187.0</v>
      </c>
      <c r="B1188" s="8">
        <v>8.0</v>
      </c>
      <c r="C1188" s="8">
        <v>14.0</v>
      </c>
      <c r="D1188" s="8">
        <v>29.0</v>
      </c>
      <c r="E1188" s="8">
        <v>37.0</v>
      </c>
      <c r="F1188" s="8">
        <v>39.0</v>
      </c>
      <c r="G1188" s="8">
        <v>50.0</v>
      </c>
      <c r="H1188" s="9">
        <v>21.0</v>
      </c>
      <c r="I1188" s="4">
        <v>45785.0</v>
      </c>
      <c r="J1188" s="5" t="s">
        <v>2367</v>
      </c>
      <c r="K1188" s="10" t="s">
        <v>2368</v>
      </c>
    </row>
    <row r="1189">
      <c r="A1189" s="7">
        <v>1188.0</v>
      </c>
      <c r="B1189" s="8">
        <v>7.0</v>
      </c>
      <c r="C1189" s="8">
        <v>16.0</v>
      </c>
      <c r="D1189" s="8">
        <v>19.0</v>
      </c>
      <c r="E1189" s="8">
        <v>28.0</v>
      </c>
      <c r="F1189" s="8">
        <v>34.0</v>
      </c>
      <c r="G1189" s="8">
        <v>51.0</v>
      </c>
      <c r="H1189" s="9">
        <v>15.0</v>
      </c>
      <c r="I1189" s="4">
        <v>45787.0</v>
      </c>
      <c r="J1189" s="5" t="s">
        <v>2369</v>
      </c>
      <c r="K1189" s="11" t="s">
        <v>2370</v>
      </c>
    </row>
    <row r="1190">
      <c r="A1190" s="7">
        <v>1189.0</v>
      </c>
      <c r="B1190" s="8">
        <v>3.0</v>
      </c>
      <c r="C1190" s="8">
        <v>7.0</v>
      </c>
      <c r="D1190" s="8">
        <v>24.0</v>
      </c>
      <c r="E1190" s="8">
        <v>39.0</v>
      </c>
      <c r="F1190" s="8">
        <v>54.0</v>
      </c>
      <c r="G1190" s="8">
        <v>55.0</v>
      </c>
      <c r="H1190" s="9">
        <v>42.0</v>
      </c>
      <c r="I1190" s="4">
        <v>45790.0</v>
      </c>
      <c r="J1190" s="5" t="s">
        <v>2371</v>
      </c>
      <c r="K1190" s="10" t="s">
        <v>2372</v>
      </c>
    </row>
    <row r="1191">
      <c r="A1191" s="7">
        <v>1190.0</v>
      </c>
      <c r="B1191" s="8">
        <v>6.0</v>
      </c>
      <c r="C1191" s="8">
        <v>9.0</v>
      </c>
      <c r="D1191" s="8">
        <v>13.0</v>
      </c>
      <c r="E1191" s="8">
        <v>44.0</v>
      </c>
      <c r="F1191" s="8">
        <v>49.0</v>
      </c>
      <c r="G1191" s="8">
        <v>54.0</v>
      </c>
      <c r="H1191" s="9">
        <v>47.0</v>
      </c>
      <c r="I1191" s="4">
        <v>45792.0</v>
      </c>
      <c r="J1191" s="5" t="s">
        <v>2373</v>
      </c>
      <c r="K1191" s="11" t="s">
        <v>2374</v>
      </c>
    </row>
    <row r="1192">
      <c r="A1192" s="7">
        <v>1191.0</v>
      </c>
      <c r="B1192" s="8">
        <v>2.0</v>
      </c>
      <c r="C1192" s="8">
        <v>7.0</v>
      </c>
      <c r="D1192" s="8">
        <v>26.0</v>
      </c>
      <c r="E1192" s="8">
        <v>29.0</v>
      </c>
      <c r="F1192" s="8">
        <v>41.0</v>
      </c>
      <c r="G1192" s="8">
        <v>50.0</v>
      </c>
      <c r="H1192" s="9">
        <v>43.0</v>
      </c>
      <c r="I1192" s="4">
        <v>45794.0</v>
      </c>
      <c r="J1192" s="5" t="s">
        <v>2375</v>
      </c>
      <c r="K1192" s="10" t="s">
        <v>2376</v>
      </c>
    </row>
    <row r="1193">
      <c r="A1193" s="7">
        <v>1192.0</v>
      </c>
      <c r="B1193" s="8">
        <v>19.0</v>
      </c>
      <c r="C1193" s="8">
        <v>27.0</v>
      </c>
      <c r="D1193" s="8">
        <v>44.0</v>
      </c>
      <c r="E1193" s="8">
        <v>45.0</v>
      </c>
      <c r="F1193" s="8">
        <v>47.0</v>
      </c>
      <c r="G1193" s="8">
        <v>52.0</v>
      </c>
      <c r="H1193" s="9">
        <v>15.0</v>
      </c>
      <c r="I1193" s="4">
        <v>45797.0</v>
      </c>
      <c r="J1193" s="5" t="s">
        <v>2377</v>
      </c>
      <c r="K1193" s="13" t="s">
        <v>2378</v>
      </c>
    </row>
    <row r="1194">
      <c r="A1194" s="7">
        <v>1193.0</v>
      </c>
      <c r="B1194" s="8">
        <v>3.0</v>
      </c>
      <c r="C1194" s="8">
        <v>9.0</v>
      </c>
      <c r="D1194" s="8">
        <v>14.0</v>
      </c>
      <c r="E1194" s="8">
        <v>41.0</v>
      </c>
      <c r="F1194" s="8">
        <v>47.0</v>
      </c>
      <c r="G1194" s="8">
        <v>55.0</v>
      </c>
      <c r="H1194" s="9">
        <v>22.0</v>
      </c>
      <c r="I1194" s="4">
        <v>45799.0</v>
      </c>
      <c r="J1194" s="5" t="s">
        <v>2379</v>
      </c>
      <c r="K1194" s="12" t="s">
        <v>2380</v>
      </c>
    </row>
    <row r="1195">
      <c r="A1195" s="7">
        <v>1194.0</v>
      </c>
      <c r="B1195" s="8">
        <v>19.0</v>
      </c>
      <c r="C1195" s="8">
        <v>20.0</v>
      </c>
      <c r="D1195" s="8">
        <v>27.0</v>
      </c>
      <c r="E1195" s="8">
        <v>30.0</v>
      </c>
      <c r="F1195" s="8">
        <v>45.0</v>
      </c>
      <c r="G1195" s="8">
        <v>55.0</v>
      </c>
      <c r="H1195" s="9">
        <v>15.0</v>
      </c>
      <c r="I1195" s="4">
        <v>45801.0</v>
      </c>
      <c r="J1195" s="5" t="s">
        <v>2381</v>
      </c>
      <c r="K1195" s="13" t="s">
        <v>2382</v>
      </c>
    </row>
    <row r="1196">
      <c r="A1196" s="7">
        <v>1195.0</v>
      </c>
      <c r="B1196" s="8">
        <v>4.0</v>
      </c>
      <c r="C1196" s="8">
        <v>12.0</v>
      </c>
      <c r="D1196" s="8">
        <v>18.0</v>
      </c>
      <c r="E1196" s="8">
        <v>19.0</v>
      </c>
      <c r="F1196" s="8">
        <v>44.0</v>
      </c>
      <c r="G1196" s="8">
        <v>48.0</v>
      </c>
      <c r="H1196" s="9">
        <v>42.0</v>
      </c>
      <c r="I1196" s="4">
        <v>45804.0</v>
      </c>
      <c r="J1196" s="5" t="s">
        <v>2383</v>
      </c>
      <c r="K1196" s="12" t="s">
        <v>2384</v>
      </c>
    </row>
    <row r="1197">
      <c r="A1197" s="7">
        <v>1196.0</v>
      </c>
      <c r="B1197" s="8">
        <v>9.0</v>
      </c>
      <c r="C1197" s="8">
        <v>37.0</v>
      </c>
      <c r="D1197" s="8">
        <v>42.0</v>
      </c>
      <c r="E1197" s="8">
        <v>45.0</v>
      </c>
      <c r="F1197" s="8">
        <v>46.0</v>
      </c>
      <c r="G1197" s="8">
        <v>50.0</v>
      </c>
      <c r="H1197" s="9">
        <v>14.0</v>
      </c>
      <c r="I1197" s="4">
        <v>45806.0</v>
      </c>
      <c r="J1197" s="5" t="s">
        <v>2385</v>
      </c>
      <c r="K1197" s="11" t="s">
        <v>2386</v>
      </c>
    </row>
    <row r="1198">
      <c r="A1198" s="7">
        <v>1197.0</v>
      </c>
      <c r="B1198" s="8">
        <v>6.0</v>
      </c>
      <c r="C1198" s="8">
        <v>24.0</v>
      </c>
      <c r="D1198" s="8">
        <v>41.0</v>
      </c>
      <c r="E1198" s="8">
        <v>45.0</v>
      </c>
      <c r="F1198" s="8">
        <v>49.0</v>
      </c>
      <c r="G1198" s="8">
        <v>55.0</v>
      </c>
      <c r="H1198" s="9">
        <v>8.0</v>
      </c>
      <c r="I1198" s="4">
        <v>45808.0</v>
      </c>
      <c r="J1198" s="5" t="s">
        <v>2387</v>
      </c>
      <c r="K1198" s="10" t="s">
        <v>2388</v>
      </c>
    </row>
    <row r="1199">
      <c r="A1199" s="7">
        <v>1198.0</v>
      </c>
      <c r="B1199" s="8">
        <v>2.0</v>
      </c>
      <c r="C1199" s="8">
        <v>11.0</v>
      </c>
      <c r="D1199" s="8">
        <v>14.0</v>
      </c>
      <c r="E1199" s="8">
        <v>16.0</v>
      </c>
      <c r="F1199" s="8">
        <v>27.0</v>
      </c>
      <c r="G1199" s="8">
        <v>38.0</v>
      </c>
      <c r="H1199" s="9">
        <v>51.0</v>
      </c>
      <c r="I1199" s="4">
        <v>45811.0</v>
      </c>
      <c r="J1199" s="5" t="s">
        <v>2389</v>
      </c>
      <c r="K1199" s="11" t="s">
        <v>2390</v>
      </c>
    </row>
    <row r="1200">
      <c r="A1200" s="7">
        <v>1199.0</v>
      </c>
      <c r="B1200" s="8">
        <v>14.0</v>
      </c>
      <c r="C1200" s="8">
        <v>21.0</v>
      </c>
      <c r="D1200" s="8">
        <v>33.0</v>
      </c>
      <c r="E1200" s="8">
        <v>37.0</v>
      </c>
      <c r="F1200" s="8">
        <v>46.0</v>
      </c>
      <c r="G1200" s="8">
        <v>49.0</v>
      </c>
      <c r="H1200" s="9">
        <v>34.0</v>
      </c>
      <c r="I1200" s="4">
        <v>45813.0</v>
      </c>
      <c r="J1200" s="5" t="s">
        <v>2391</v>
      </c>
      <c r="K1200" s="10" t="s">
        <v>2392</v>
      </c>
    </row>
    <row r="1201">
      <c r="A1201" s="7">
        <v>1200.0</v>
      </c>
      <c r="B1201" s="8">
        <v>12.0</v>
      </c>
      <c r="C1201" s="8">
        <v>17.0</v>
      </c>
      <c r="D1201" s="8">
        <v>21.0</v>
      </c>
      <c r="E1201" s="8">
        <v>46.0</v>
      </c>
      <c r="F1201" s="8">
        <v>48.0</v>
      </c>
      <c r="G1201" s="8">
        <v>52.0</v>
      </c>
      <c r="H1201" s="9">
        <v>45.0</v>
      </c>
      <c r="I1201" s="4">
        <v>45815.0</v>
      </c>
      <c r="J1201" s="5" t="s">
        <v>2393</v>
      </c>
      <c r="K1201" s="11" t="s">
        <v>2394</v>
      </c>
    </row>
    <row r="1202">
      <c r="A1202" s="7">
        <v>1201.0</v>
      </c>
      <c r="B1202" s="8">
        <v>3.0</v>
      </c>
      <c r="C1202" s="8">
        <v>6.0</v>
      </c>
      <c r="D1202" s="8">
        <v>21.0</v>
      </c>
      <c r="E1202" s="8">
        <v>29.0</v>
      </c>
      <c r="F1202" s="8">
        <v>40.0</v>
      </c>
      <c r="G1202" s="8">
        <v>41.0</v>
      </c>
      <c r="H1202" s="9">
        <v>37.0</v>
      </c>
      <c r="I1202" s="4">
        <v>45818.0</v>
      </c>
      <c r="J1202" s="5" t="s">
        <v>2395</v>
      </c>
      <c r="K1202" s="12" t="s">
        <v>2396</v>
      </c>
    </row>
    <row r="1203">
      <c r="A1203" s="7">
        <v>1202.0</v>
      </c>
      <c r="B1203" s="8">
        <v>6.0</v>
      </c>
      <c r="C1203" s="8">
        <v>8.0</v>
      </c>
      <c r="D1203" s="8">
        <v>16.0</v>
      </c>
      <c r="E1203" s="8">
        <v>18.0</v>
      </c>
      <c r="F1203" s="8">
        <v>34.0</v>
      </c>
      <c r="G1203" s="8">
        <v>44.0</v>
      </c>
      <c r="H1203" s="9">
        <v>17.0</v>
      </c>
      <c r="I1203" s="4">
        <v>45820.0</v>
      </c>
      <c r="J1203" s="5" t="s">
        <v>2397</v>
      </c>
      <c r="K1203" s="13" t="s">
        <v>2398</v>
      </c>
    </row>
    <row r="1204">
      <c r="A1204" s="7">
        <v>1203.0</v>
      </c>
      <c r="B1204" s="8">
        <v>11.0</v>
      </c>
      <c r="C1204" s="8">
        <v>12.0</v>
      </c>
      <c r="D1204" s="8">
        <v>22.0</v>
      </c>
      <c r="E1204" s="8">
        <v>26.0</v>
      </c>
      <c r="F1204" s="8">
        <v>41.0</v>
      </c>
      <c r="G1204" s="8">
        <v>47.0</v>
      </c>
      <c r="H1204" s="9">
        <v>24.0</v>
      </c>
      <c r="I1204" s="4">
        <v>45822.0</v>
      </c>
      <c r="J1204" s="5" t="s">
        <v>2399</v>
      </c>
      <c r="K1204" s="12" t="s">
        <v>2400</v>
      </c>
    </row>
    <row r="1205">
      <c r="A1205" s="7">
        <v>1204.0</v>
      </c>
      <c r="B1205" s="8">
        <v>7.0</v>
      </c>
      <c r="C1205" s="8">
        <v>13.0</v>
      </c>
      <c r="D1205" s="8">
        <v>18.0</v>
      </c>
      <c r="E1205" s="8">
        <v>22.0</v>
      </c>
      <c r="F1205" s="8">
        <v>32.0</v>
      </c>
      <c r="G1205" s="8">
        <v>44.0</v>
      </c>
      <c r="H1205" s="9">
        <v>43.0</v>
      </c>
      <c r="I1205" s="4">
        <v>45825.0</v>
      </c>
      <c r="J1205" s="5" t="s">
        <v>2401</v>
      </c>
      <c r="K1205" s="13" t="s">
        <v>2402</v>
      </c>
    </row>
    <row r="1206">
      <c r="A1206" s="7">
        <v>1205.0</v>
      </c>
      <c r="B1206" s="8">
        <v>3.0</v>
      </c>
      <c r="C1206" s="8">
        <v>5.0</v>
      </c>
      <c r="D1206" s="8">
        <v>9.0</v>
      </c>
      <c r="E1206" s="8">
        <v>10.0</v>
      </c>
      <c r="F1206" s="8">
        <v>16.0</v>
      </c>
      <c r="G1206" s="8">
        <v>47.0</v>
      </c>
      <c r="H1206" s="9">
        <v>34.0</v>
      </c>
      <c r="I1206" s="4">
        <v>45827.0</v>
      </c>
      <c r="J1206" s="5" t="s">
        <v>2403</v>
      </c>
      <c r="K1206" s="12" t="s">
        <v>2404</v>
      </c>
    </row>
    <row r="1207">
      <c r="A1207" s="7">
        <v>1206.0</v>
      </c>
      <c r="B1207" s="8">
        <v>6.0</v>
      </c>
      <c r="C1207" s="8">
        <v>10.0</v>
      </c>
      <c r="D1207" s="8">
        <v>15.0</v>
      </c>
      <c r="E1207" s="8">
        <v>43.0</v>
      </c>
      <c r="F1207" s="8">
        <v>44.0</v>
      </c>
      <c r="G1207" s="8">
        <v>53.0</v>
      </c>
      <c r="H1207" s="9">
        <v>32.0</v>
      </c>
      <c r="I1207" s="4">
        <v>45829.0</v>
      </c>
      <c r="J1207" s="5" t="s">
        <v>2405</v>
      </c>
      <c r="K1207" s="11" t="s">
        <v>2406</v>
      </c>
    </row>
    <row r="1208">
      <c r="A1208" s="7">
        <v>1207.0</v>
      </c>
      <c r="B1208" s="8">
        <v>3.0</v>
      </c>
      <c r="C1208" s="8">
        <v>9.0</v>
      </c>
      <c r="D1208" s="8">
        <v>18.0</v>
      </c>
      <c r="E1208" s="8">
        <v>20.0</v>
      </c>
      <c r="F1208" s="8">
        <v>30.0</v>
      </c>
      <c r="G1208" s="8">
        <v>53.0</v>
      </c>
      <c r="H1208" s="9">
        <v>48.0</v>
      </c>
      <c r="I1208" s="4">
        <v>45832.0</v>
      </c>
      <c r="J1208" s="5" t="s">
        <v>2407</v>
      </c>
      <c r="K1208" s="10" t="s">
        <v>2408</v>
      </c>
    </row>
    <row r="1209">
      <c r="A1209" s="7">
        <v>1208.0</v>
      </c>
      <c r="B1209" s="8">
        <v>1.0</v>
      </c>
      <c r="C1209" s="8">
        <v>14.0</v>
      </c>
      <c r="D1209" s="8">
        <v>16.0</v>
      </c>
      <c r="E1209" s="8">
        <v>27.0</v>
      </c>
      <c r="F1209" s="8">
        <v>40.0</v>
      </c>
      <c r="G1209" s="8">
        <v>51.0</v>
      </c>
      <c r="H1209" s="9">
        <v>2.0</v>
      </c>
      <c r="I1209" s="4">
        <v>45834.0</v>
      </c>
      <c r="J1209" s="5" t="s">
        <v>2409</v>
      </c>
      <c r="K1209" s="11" t="s">
        <v>2410</v>
      </c>
    </row>
    <row r="1210">
      <c r="A1210" s="7">
        <v>1209.0</v>
      </c>
      <c r="B1210" s="8">
        <v>8.0</v>
      </c>
      <c r="C1210" s="8">
        <v>11.0</v>
      </c>
      <c r="D1210" s="8">
        <v>13.0</v>
      </c>
      <c r="E1210" s="8">
        <v>20.0</v>
      </c>
      <c r="F1210" s="8">
        <v>45.0</v>
      </c>
      <c r="G1210" s="8">
        <v>50.0</v>
      </c>
      <c r="H1210" s="9">
        <v>25.0</v>
      </c>
      <c r="I1210" s="4">
        <v>45836.0</v>
      </c>
      <c r="J1210" s="5" t="s">
        <v>167</v>
      </c>
      <c r="K1210" s="12" t="s">
        <v>2411</v>
      </c>
    </row>
    <row r="1211">
      <c r="A1211" s="7">
        <v>1210.0</v>
      </c>
      <c r="B1211" s="8">
        <v>3.0</v>
      </c>
      <c r="C1211" s="8">
        <v>11.0</v>
      </c>
      <c r="D1211" s="8">
        <v>12.0</v>
      </c>
      <c r="E1211" s="8">
        <v>14.0</v>
      </c>
      <c r="F1211" s="8">
        <v>27.0</v>
      </c>
      <c r="G1211" s="8">
        <v>33.0</v>
      </c>
      <c r="H1211" s="9">
        <v>15.0</v>
      </c>
      <c r="I1211" s="4">
        <v>45839.0</v>
      </c>
      <c r="J1211" s="5" t="s">
        <v>167</v>
      </c>
      <c r="K1211" s="13" t="s">
        <v>2412</v>
      </c>
    </row>
    <row r="1212">
      <c r="A1212" s="7">
        <v>1211.0</v>
      </c>
      <c r="B1212" s="8">
        <v>18.0</v>
      </c>
      <c r="C1212" s="8">
        <v>19.0</v>
      </c>
      <c r="D1212" s="8">
        <v>29.0</v>
      </c>
      <c r="E1212" s="8">
        <v>31.0</v>
      </c>
      <c r="F1212" s="8">
        <v>45.0</v>
      </c>
      <c r="G1212" s="8">
        <v>54.0</v>
      </c>
      <c r="H1212" s="9">
        <v>27.0</v>
      </c>
      <c r="I1212" s="4">
        <v>45841.0</v>
      </c>
      <c r="J1212" s="5" t="s">
        <v>2413</v>
      </c>
      <c r="K1212" s="10" t="s">
        <v>2414</v>
      </c>
    </row>
    <row r="1213">
      <c r="A1213" s="7">
        <v>1212.0</v>
      </c>
      <c r="B1213" s="8">
        <v>3.0</v>
      </c>
      <c r="C1213" s="8">
        <v>15.0</v>
      </c>
      <c r="D1213" s="8">
        <v>22.0</v>
      </c>
      <c r="E1213" s="8">
        <v>45.0</v>
      </c>
      <c r="F1213" s="8">
        <v>51.0</v>
      </c>
      <c r="G1213" s="8">
        <v>55.0</v>
      </c>
      <c r="H1213" s="9">
        <v>54.0</v>
      </c>
      <c r="I1213" s="4">
        <v>45843.0</v>
      </c>
      <c r="J1213" s="5" t="s">
        <v>167</v>
      </c>
      <c r="K1213" s="13" t="s">
        <v>2415</v>
      </c>
    </row>
    <row r="1214">
      <c r="A1214" s="7">
        <v>1213.0</v>
      </c>
      <c r="B1214" s="8">
        <v>23.0</v>
      </c>
      <c r="C1214" s="8">
        <v>24.0</v>
      </c>
      <c r="D1214" s="8">
        <v>32.0</v>
      </c>
      <c r="E1214" s="8">
        <v>42.0</v>
      </c>
      <c r="F1214" s="8">
        <v>48.0</v>
      </c>
      <c r="G1214" s="8">
        <v>50.0</v>
      </c>
      <c r="H1214" s="9">
        <v>31.0</v>
      </c>
      <c r="I1214" s="4">
        <v>45846.0</v>
      </c>
      <c r="J1214" s="5" t="s">
        <v>2416</v>
      </c>
      <c r="K1214" s="10" t="s">
        <v>2417</v>
      </c>
    </row>
    <row r="1215">
      <c r="A1215" s="7">
        <v>1214.0</v>
      </c>
      <c r="B1215" s="8">
        <v>12.0</v>
      </c>
      <c r="C1215" s="8">
        <v>33.0</v>
      </c>
      <c r="D1215" s="8">
        <v>34.0</v>
      </c>
      <c r="E1215" s="8">
        <v>42.0</v>
      </c>
      <c r="F1215" s="8">
        <v>44.0</v>
      </c>
      <c r="G1215" s="8">
        <v>53.0</v>
      </c>
      <c r="H1215" s="9">
        <v>3.0</v>
      </c>
      <c r="I1215" s="4">
        <v>45848.0</v>
      </c>
      <c r="J1215" s="5" t="s">
        <v>2418</v>
      </c>
      <c r="K1215" s="11" t="s">
        <v>2419</v>
      </c>
    </row>
    <row r="1216">
      <c r="A1216" s="7">
        <v>1215.0</v>
      </c>
      <c r="B1216" s="8">
        <v>2.0</v>
      </c>
      <c r="C1216" s="8">
        <v>34.0</v>
      </c>
      <c r="D1216" s="8">
        <v>39.0</v>
      </c>
      <c r="E1216" s="8">
        <v>41.0</v>
      </c>
      <c r="F1216" s="8">
        <v>45.0</v>
      </c>
      <c r="G1216" s="8">
        <v>52.0</v>
      </c>
      <c r="H1216" s="9">
        <v>51.0</v>
      </c>
      <c r="I1216" s="4">
        <v>45850.0</v>
      </c>
      <c r="J1216" s="5" t="s">
        <v>2420</v>
      </c>
      <c r="K1216" s="12" t="s">
        <v>2421</v>
      </c>
    </row>
    <row r="1217">
      <c r="A1217" s="7">
        <v>1216.0</v>
      </c>
      <c r="B1217" s="8">
        <v>18.0</v>
      </c>
      <c r="C1217" s="8">
        <v>26.0</v>
      </c>
      <c r="D1217" s="8">
        <v>31.0</v>
      </c>
      <c r="E1217" s="8">
        <v>32.0</v>
      </c>
      <c r="F1217" s="8">
        <v>36.0</v>
      </c>
      <c r="G1217" s="8">
        <v>48.0</v>
      </c>
      <c r="H1217" s="9">
        <v>30.0</v>
      </c>
      <c r="I1217" s="4">
        <v>45853.0</v>
      </c>
      <c r="J1217" s="5" t="s">
        <v>2422</v>
      </c>
      <c r="K1217" s="11" t="s">
        <v>2423</v>
      </c>
    </row>
    <row r="1218">
      <c r="A1218" s="7">
        <v>1217.0</v>
      </c>
      <c r="B1218" s="8">
        <v>13.0</v>
      </c>
      <c r="C1218" s="8">
        <v>18.0</v>
      </c>
      <c r="D1218" s="8">
        <v>33.0</v>
      </c>
      <c r="E1218" s="8">
        <v>40.0</v>
      </c>
      <c r="F1218" s="8">
        <v>48.0</v>
      </c>
      <c r="G1218" s="8">
        <v>53.0</v>
      </c>
      <c r="H1218" s="9">
        <v>54.0</v>
      </c>
      <c r="I1218" s="4">
        <v>45855.0</v>
      </c>
      <c r="J1218" s="5" t="s">
        <v>2424</v>
      </c>
      <c r="K1218" s="10" t="s">
        <v>2425</v>
      </c>
    </row>
    <row r="1219">
      <c r="A1219" s="7">
        <v>1218.0</v>
      </c>
      <c r="B1219" s="8">
        <v>8.0</v>
      </c>
      <c r="C1219" s="8">
        <v>9.0</v>
      </c>
      <c r="D1219" s="8">
        <v>20.0</v>
      </c>
      <c r="E1219" s="8">
        <v>36.0</v>
      </c>
      <c r="F1219" s="8">
        <v>39.0</v>
      </c>
      <c r="G1219" s="8">
        <v>44.0</v>
      </c>
      <c r="H1219" s="9">
        <v>28.0</v>
      </c>
      <c r="I1219" s="4">
        <v>45857.0</v>
      </c>
      <c r="J1219" s="5" t="s">
        <v>2426</v>
      </c>
      <c r="K1219" s="11" t="s">
        <v>2427</v>
      </c>
    </row>
    <row r="1220">
      <c r="A1220" s="7">
        <v>1219.0</v>
      </c>
      <c r="B1220" s="8">
        <v>9.0</v>
      </c>
      <c r="C1220" s="8">
        <v>10.0</v>
      </c>
      <c r="D1220" s="8">
        <v>15.0</v>
      </c>
      <c r="E1220" s="8">
        <v>28.0</v>
      </c>
      <c r="F1220" s="8">
        <v>33.0</v>
      </c>
      <c r="G1220" s="8">
        <v>44.0</v>
      </c>
      <c r="H1220" s="9">
        <v>22.0</v>
      </c>
      <c r="I1220" s="4">
        <v>45860.0</v>
      </c>
      <c r="J1220" s="5" t="s">
        <v>2428</v>
      </c>
      <c r="K1220" s="10" t="s">
        <v>2429</v>
      </c>
    </row>
    <row r="1221">
      <c r="A1221" s="7">
        <v>1220.0</v>
      </c>
      <c r="B1221" s="8">
        <v>5.0</v>
      </c>
      <c r="C1221" s="8">
        <v>10.0</v>
      </c>
      <c r="D1221" s="8">
        <v>24.0</v>
      </c>
      <c r="E1221" s="8">
        <v>29.0</v>
      </c>
      <c r="F1221" s="8">
        <v>30.0</v>
      </c>
      <c r="G1221" s="8">
        <v>34.0</v>
      </c>
      <c r="H1221" s="9">
        <v>45.0</v>
      </c>
      <c r="I1221" s="4">
        <v>45862.0</v>
      </c>
      <c r="J1221" s="5" t="s">
        <v>2430</v>
      </c>
      <c r="K1221" s="13" t="s">
        <v>2431</v>
      </c>
    </row>
    <row r="1222">
      <c r="A1222" s="7">
        <v>1221.0</v>
      </c>
      <c r="B1222" s="8">
        <v>5.0</v>
      </c>
      <c r="C1222" s="8">
        <v>26.0</v>
      </c>
      <c r="D1222" s="8">
        <v>28.0</v>
      </c>
      <c r="E1222" s="8">
        <v>29.0</v>
      </c>
      <c r="F1222" s="8">
        <v>33.0</v>
      </c>
      <c r="G1222" s="8">
        <v>54.0</v>
      </c>
      <c r="H1222" s="9">
        <v>34.0</v>
      </c>
      <c r="I1222" s="4">
        <v>45864.0</v>
      </c>
      <c r="J1222" s="5" t="s">
        <v>2432</v>
      </c>
      <c r="K1222" s="10" t="s">
        <v>2433</v>
      </c>
    </row>
    <row r="1223">
      <c r="A1223" s="7">
        <v>1222.0</v>
      </c>
      <c r="B1223" s="8">
        <v>4.0</v>
      </c>
      <c r="C1223" s="8">
        <v>8.0</v>
      </c>
      <c r="D1223" s="8">
        <v>23.0</v>
      </c>
      <c r="E1223" s="8">
        <v>43.0</v>
      </c>
      <c r="F1223" s="8">
        <v>45.0</v>
      </c>
      <c r="G1223" s="8">
        <v>51.0</v>
      </c>
      <c r="H1223" s="9">
        <v>48.0</v>
      </c>
      <c r="I1223" s="4">
        <v>45867.0</v>
      </c>
      <c r="J1223" s="5" t="s">
        <v>2434</v>
      </c>
      <c r="K1223" s="11" t="s">
        <v>2435</v>
      </c>
    </row>
    <row r="1224">
      <c r="A1224" s="7">
        <v>1223.0</v>
      </c>
      <c r="B1224" s="8">
        <v>5.0</v>
      </c>
      <c r="C1224" s="8">
        <v>17.0</v>
      </c>
      <c r="D1224" s="8">
        <v>31.0</v>
      </c>
      <c r="E1224" s="8">
        <v>42.0</v>
      </c>
      <c r="F1224" s="8">
        <v>46.0</v>
      </c>
      <c r="G1224" s="8">
        <v>49.0</v>
      </c>
      <c r="H1224" s="9">
        <v>37.0</v>
      </c>
      <c r="I1224" s="4">
        <v>45869.0</v>
      </c>
      <c r="J1224" s="5" t="s">
        <v>2436</v>
      </c>
      <c r="K1224" s="10" t="s">
        <v>2437</v>
      </c>
    </row>
    <row r="1225">
      <c r="A1225" s="7">
        <v>1224.0</v>
      </c>
      <c r="B1225" s="8">
        <v>12.0</v>
      </c>
      <c r="C1225" s="8">
        <v>24.0</v>
      </c>
      <c r="D1225" s="8">
        <v>29.0</v>
      </c>
      <c r="E1225" s="8">
        <v>33.0</v>
      </c>
      <c r="F1225" s="8">
        <v>34.0</v>
      </c>
      <c r="G1225" s="8">
        <v>35.0</v>
      </c>
      <c r="H1225" s="9">
        <v>47.0</v>
      </c>
      <c r="I1225" s="4">
        <v>45871.0</v>
      </c>
      <c r="J1225" s="5" t="s">
        <v>2438</v>
      </c>
      <c r="K1225" s="13" t="s">
        <v>2439</v>
      </c>
    </row>
    <row r="1226">
      <c r="A1226" s="7">
        <v>1225.0</v>
      </c>
      <c r="B1226" s="8">
        <v>8.0</v>
      </c>
      <c r="C1226" s="8">
        <v>41.0</v>
      </c>
      <c r="D1226" s="8">
        <v>45.0</v>
      </c>
      <c r="E1226" s="8">
        <v>51.0</v>
      </c>
      <c r="F1226" s="8">
        <v>52.0</v>
      </c>
      <c r="G1226" s="8">
        <v>53.0</v>
      </c>
      <c r="H1226" s="9">
        <v>31.0</v>
      </c>
      <c r="I1226" s="4">
        <v>45874.0</v>
      </c>
      <c r="J1226" s="5" t="s">
        <v>2440</v>
      </c>
      <c r="K1226" s="12" t="s">
        <v>2441</v>
      </c>
    </row>
    <row r="1227">
      <c r="A1227" s="7">
        <v>1226.0</v>
      </c>
      <c r="B1227" s="8">
        <v>6.0</v>
      </c>
      <c r="C1227" s="8">
        <v>24.0</v>
      </c>
      <c r="D1227" s="8">
        <v>31.0</v>
      </c>
      <c r="E1227" s="8">
        <v>32.0</v>
      </c>
      <c r="F1227" s="8">
        <v>39.0</v>
      </c>
      <c r="G1227" s="8">
        <v>48.0</v>
      </c>
      <c r="H1227" s="9">
        <v>52.0</v>
      </c>
      <c r="I1227" s="4">
        <v>45876.0</v>
      </c>
      <c r="J1227" s="5" t="s">
        <v>2442</v>
      </c>
      <c r="K1227" s="11" t="s">
        <v>2443</v>
      </c>
    </row>
    <row r="1228">
      <c r="A1228" s="7">
        <v>1227.0</v>
      </c>
      <c r="B1228" s="8">
        <v>5.0</v>
      </c>
      <c r="C1228" s="8">
        <v>9.0</v>
      </c>
      <c r="D1228" s="8">
        <v>16.0</v>
      </c>
      <c r="E1228" s="8">
        <v>36.0</v>
      </c>
      <c r="F1228" s="8">
        <v>43.0</v>
      </c>
      <c r="G1228" s="8">
        <v>51.0</v>
      </c>
      <c r="H1228" s="9">
        <v>19.0</v>
      </c>
      <c r="I1228" s="4">
        <v>45878.0</v>
      </c>
      <c r="J1228" s="5" t="s">
        <v>2444</v>
      </c>
      <c r="K1228" s="10" t="s">
        <v>2445</v>
      </c>
    </row>
    <row r="1229">
      <c r="A1229" s="7">
        <v>1228.0</v>
      </c>
      <c r="B1229" s="8">
        <v>1.0</v>
      </c>
      <c r="C1229" s="8">
        <v>6.0</v>
      </c>
      <c r="D1229" s="8">
        <v>24.0</v>
      </c>
      <c r="E1229" s="8">
        <v>37.0</v>
      </c>
      <c r="F1229" s="8">
        <v>40.0</v>
      </c>
      <c r="G1229" s="8">
        <v>55.0</v>
      </c>
      <c r="H1229" s="9">
        <v>10.0</v>
      </c>
      <c r="I1229" s="4">
        <v>45881.0</v>
      </c>
      <c r="J1229" s="5" t="s">
        <v>2446</v>
      </c>
      <c r="K1229" s="13" t="s">
        <v>2447</v>
      </c>
    </row>
    <row r="1230">
      <c r="A1230" s="7">
        <v>1229.0</v>
      </c>
      <c r="B1230" s="8">
        <v>6.0</v>
      </c>
      <c r="C1230" s="8">
        <v>10.0</v>
      </c>
      <c r="D1230" s="8">
        <v>17.0</v>
      </c>
      <c r="E1230" s="8">
        <v>18.0</v>
      </c>
      <c r="F1230" s="8">
        <v>32.0</v>
      </c>
      <c r="G1230" s="8">
        <v>35.0</v>
      </c>
      <c r="H1230" s="9">
        <v>53.0</v>
      </c>
      <c r="I1230" s="4">
        <v>45883.0</v>
      </c>
      <c r="J1230" s="5" t="s">
        <v>2448</v>
      </c>
      <c r="K1230" s="10" t="s">
        <v>2449</v>
      </c>
    </row>
    <row r="1231">
      <c r="A1231" s="7">
        <v>1230.0</v>
      </c>
      <c r="B1231" s="8">
        <v>14.0</v>
      </c>
      <c r="C1231" s="8">
        <v>23.0</v>
      </c>
      <c r="D1231" s="8">
        <v>32.0</v>
      </c>
      <c r="E1231" s="8">
        <v>36.0</v>
      </c>
      <c r="F1231" s="8">
        <v>47.0</v>
      </c>
      <c r="G1231" s="8">
        <v>48.0</v>
      </c>
      <c r="H1231" s="9">
        <v>5.0</v>
      </c>
      <c r="I1231" s="4">
        <v>45885.0</v>
      </c>
      <c r="J1231" s="5" t="s">
        <v>2450</v>
      </c>
      <c r="K1231" s="13" t="s">
        <v>2451</v>
      </c>
    </row>
    <row r="1232">
      <c r="A1232" s="7">
        <v>1231.0</v>
      </c>
      <c r="B1232" s="8">
        <v>1.0</v>
      </c>
      <c r="C1232" s="8">
        <v>14.0</v>
      </c>
      <c r="D1232" s="8">
        <v>31.0</v>
      </c>
      <c r="E1232" s="8">
        <v>34.0</v>
      </c>
      <c r="F1232" s="8">
        <v>36.0</v>
      </c>
      <c r="G1232" s="8">
        <v>47.0</v>
      </c>
      <c r="H1232" s="9">
        <v>45.0</v>
      </c>
      <c r="I1232" s="4">
        <v>45888.0</v>
      </c>
      <c r="J1232" s="5" t="s">
        <v>2452</v>
      </c>
      <c r="K1232" s="12" t="s">
        <v>2453</v>
      </c>
    </row>
    <row r="1233">
      <c r="A1233" s="7">
        <v>1232.0</v>
      </c>
      <c r="B1233" s="8">
        <v>5.0</v>
      </c>
      <c r="C1233" s="8">
        <v>9.0</v>
      </c>
      <c r="D1233" s="8">
        <v>17.0</v>
      </c>
      <c r="E1233" s="8">
        <v>35.0</v>
      </c>
      <c r="F1233" s="8">
        <v>40.0</v>
      </c>
      <c r="G1233" s="8">
        <v>41.0</v>
      </c>
      <c r="H1233" s="9">
        <v>44.0</v>
      </c>
      <c r="I1233" s="4">
        <v>45890.0</v>
      </c>
      <c r="J1233" s="5" t="s">
        <v>2454</v>
      </c>
      <c r="K1233" s="13" t="s">
        <v>2455</v>
      </c>
    </row>
    <row r="1234">
      <c r="A1234" s="7">
        <v>1233.0</v>
      </c>
      <c r="B1234" s="8">
        <v>1.0</v>
      </c>
      <c r="C1234" s="8">
        <v>9.0</v>
      </c>
      <c r="D1234" s="8">
        <v>26.0</v>
      </c>
      <c r="E1234" s="8">
        <v>34.0</v>
      </c>
      <c r="F1234" s="8">
        <v>44.0</v>
      </c>
      <c r="G1234" s="8">
        <v>50.0</v>
      </c>
      <c r="H1234" s="9">
        <v>52.0</v>
      </c>
      <c r="I1234" s="4">
        <v>45892.0</v>
      </c>
      <c r="J1234" s="5" t="s">
        <v>2456</v>
      </c>
      <c r="K1234" s="10" t="s">
        <v>2457</v>
      </c>
    </row>
    <row r="1235">
      <c r="A1235" s="7">
        <v>1234.0</v>
      </c>
      <c r="B1235" s="8">
        <v>22.0</v>
      </c>
      <c r="C1235" s="8">
        <v>30.0</v>
      </c>
      <c r="D1235" s="8">
        <v>38.0</v>
      </c>
      <c r="E1235" s="8">
        <v>44.0</v>
      </c>
      <c r="F1235" s="8">
        <v>48.0</v>
      </c>
      <c r="G1235" s="8">
        <v>55.0</v>
      </c>
      <c r="H1235" s="9">
        <v>5.0</v>
      </c>
      <c r="I1235" s="4">
        <v>45895.0</v>
      </c>
      <c r="J1235" s="5" t="s">
        <v>2458</v>
      </c>
      <c r="K1235" s="11" t="s">
        <v>2459</v>
      </c>
    </row>
    <row r="1236">
      <c r="A1236" s="7">
        <v>1235.0</v>
      </c>
      <c r="B1236" s="8">
        <v>6.0</v>
      </c>
      <c r="C1236" s="8">
        <v>13.0</v>
      </c>
      <c r="D1236" s="8">
        <v>28.0</v>
      </c>
      <c r="E1236" s="8">
        <v>30.0</v>
      </c>
      <c r="F1236" s="8">
        <v>35.0</v>
      </c>
      <c r="G1236" s="8">
        <v>52.0</v>
      </c>
      <c r="H1236" s="9">
        <v>50.0</v>
      </c>
      <c r="I1236" s="4">
        <v>45897.0</v>
      </c>
      <c r="J1236" s="5" t="s">
        <v>2460</v>
      </c>
      <c r="K1236" s="10" t="s">
        <v>2461</v>
      </c>
    </row>
    <row r="1237">
      <c r="A1237" s="7">
        <v>1236.0</v>
      </c>
      <c r="B1237" s="8">
        <v>2.0</v>
      </c>
      <c r="C1237" s="8">
        <v>17.0</v>
      </c>
      <c r="D1237" s="8">
        <v>19.0</v>
      </c>
      <c r="E1237" s="8">
        <v>24.0</v>
      </c>
      <c r="F1237" s="8">
        <v>30.0</v>
      </c>
      <c r="G1237" s="8">
        <v>44.0</v>
      </c>
      <c r="H1237" s="9">
        <v>34.0</v>
      </c>
      <c r="I1237" s="4">
        <v>45899.0</v>
      </c>
      <c r="J1237" s="5" t="s">
        <v>2462</v>
      </c>
      <c r="K1237" s="13" t="s">
        <v>2463</v>
      </c>
    </row>
    <row r="1238">
      <c r="A1238" s="7">
        <v>1237.0</v>
      </c>
      <c r="B1238" s="8">
        <v>9.0</v>
      </c>
      <c r="C1238" s="8">
        <v>16.0</v>
      </c>
      <c r="D1238" s="8">
        <v>22.0</v>
      </c>
      <c r="E1238" s="8">
        <v>25.0</v>
      </c>
      <c r="F1238" s="8">
        <v>30.0</v>
      </c>
      <c r="G1238" s="8">
        <v>51.0</v>
      </c>
      <c r="H1238" s="9">
        <v>43.0</v>
      </c>
      <c r="I1238" s="4">
        <v>45902.0</v>
      </c>
      <c r="J1238" s="5" t="s">
        <v>2464</v>
      </c>
      <c r="K1238" s="10" t="s">
        <v>2465</v>
      </c>
    </row>
    <row r="1239">
      <c r="A1239" s="7">
        <v>1238.0</v>
      </c>
      <c r="B1239" s="8">
        <v>9.0</v>
      </c>
      <c r="C1239" s="8">
        <v>19.0</v>
      </c>
      <c r="D1239" s="8">
        <v>23.0</v>
      </c>
      <c r="E1239" s="8">
        <v>42.0</v>
      </c>
      <c r="F1239" s="8">
        <v>49.0</v>
      </c>
      <c r="G1239" s="8">
        <v>53.0</v>
      </c>
      <c r="H1239" s="9">
        <v>40.0</v>
      </c>
      <c r="I1239" s="4">
        <v>45904.0</v>
      </c>
      <c r="J1239" s="5" t="s">
        <v>2466</v>
      </c>
      <c r="K1239" s="11" t="s">
        <v>2467</v>
      </c>
    </row>
    <row r="1240">
      <c r="A1240" s="7">
        <v>1239.0</v>
      </c>
      <c r="B1240" s="8">
        <v>9.0</v>
      </c>
      <c r="C1240" s="8">
        <v>11.0</v>
      </c>
      <c r="D1240" s="8">
        <v>19.0</v>
      </c>
      <c r="E1240" s="8">
        <v>22.0</v>
      </c>
      <c r="F1240" s="8">
        <v>34.0</v>
      </c>
      <c r="G1240" s="8">
        <v>43.0</v>
      </c>
      <c r="H1240" s="9">
        <v>31.0</v>
      </c>
      <c r="I1240" s="4">
        <v>45906.0</v>
      </c>
      <c r="J1240" s="5" t="s">
        <v>2468</v>
      </c>
      <c r="K1240" s="12" t="s">
        <v>2469</v>
      </c>
    </row>
    <row r="1241">
      <c r="A1241" s="7">
        <v>1240.0</v>
      </c>
      <c r="B1241" s="8">
        <v>16.0</v>
      </c>
      <c r="C1241" s="8">
        <v>20.0</v>
      </c>
      <c r="D1241" s="8">
        <v>21.0</v>
      </c>
      <c r="E1241" s="8">
        <v>31.0</v>
      </c>
      <c r="F1241" s="8">
        <v>40.0</v>
      </c>
      <c r="G1241" s="8">
        <v>52.0</v>
      </c>
      <c r="H1241" s="9">
        <v>2.0</v>
      </c>
      <c r="I1241" s="4">
        <v>45909.0</v>
      </c>
      <c r="J1241" s="5" t="s">
        <v>2470</v>
      </c>
      <c r="K1241" s="11" t="s">
        <v>2471</v>
      </c>
    </row>
    <row r="1242">
      <c r="A1242" s="7">
        <v>1241.0</v>
      </c>
      <c r="B1242" s="8">
        <v>6.0</v>
      </c>
      <c r="C1242" s="8">
        <v>16.0</v>
      </c>
      <c r="D1242" s="8">
        <v>46.0</v>
      </c>
      <c r="E1242" s="8">
        <v>49.0</v>
      </c>
      <c r="F1242" s="8">
        <v>51.0</v>
      </c>
      <c r="G1242" s="8">
        <v>55.0</v>
      </c>
      <c r="H1242" s="9">
        <v>42.0</v>
      </c>
      <c r="I1242" s="4">
        <v>45911.0</v>
      </c>
      <c r="J1242" s="5" t="s">
        <v>2472</v>
      </c>
      <c r="K1242" s="10" t="s">
        <v>2473</v>
      </c>
    </row>
    <row r="1243">
      <c r="A1243" s="7">
        <v>1242.0</v>
      </c>
      <c r="B1243" s="8">
        <v>2.0</v>
      </c>
      <c r="C1243" s="8">
        <v>7.0</v>
      </c>
      <c r="D1243" s="8">
        <v>15.0</v>
      </c>
      <c r="E1243" s="8">
        <v>18.0</v>
      </c>
      <c r="F1243" s="8">
        <v>24.0</v>
      </c>
      <c r="G1243" s="8">
        <v>27.0</v>
      </c>
      <c r="H1243" s="9">
        <v>45.0</v>
      </c>
      <c r="I1243" s="4">
        <v>45913.0</v>
      </c>
      <c r="J1243" s="5" t="s">
        <v>2474</v>
      </c>
      <c r="K1243" s="11" t="s">
        <v>2475</v>
      </c>
    </row>
    <row r="1244">
      <c r="A1244" s="7">
        <v>1243.0</v>
      </c>
      <c r="B1244" s="8">
        <v>17.0</v>
      </c>
      <c r="C1244" s="8">
        <v>19.0</v>
      </c>
      <c r="D1244" s="8">
        <v>28.0</v>
      </c>
      <c r="E1244" s="8">
        <v>39.0</v>
      </c>
      <c r="F1244" s="8">
        <v>43.0</v>
      </c>
      <c r="G1244" s="8">
        <v>53.0</v>
      </c>
      <c r="H1244" s="9">
        <v>33.0</v>
      </c>
      <c r="I1244" s="4">
        <v>45916.0</v>
      </c>
      <c r="J1244" s="5" t="s">
        <v>2476</v>
      </c>
      <c r="K1244" s="12" t="s">
        <v>2477</v>
      </c>
    </row>
    <row r="1245">
      <c r="A1245" s="7">
        <v>1244.0</v>
      </c>
      <c r="B1245" s="8">
        <v>2.0</v>
      </c>
      <c r="C1245" s="8">
        <v>3.0</v>
      </c>
      <c r="D1245" s="8">
        <v>8.0</v>
      </c>
      <c r="E1245" s="8">
        <v>27.0</v>
      </c>
      <c r="F1245" s="8">
        <v>38.0</v>
      </c>
      <c r="G1245" s="8">
        <v>55.0</v>
      </c>
      <c r="H1245" s="9">
        <v>20.0</v>
      </c>
      <c r="I1245" s="4">
        <v>45918.0</v>
      </c>
      <c r="J1245" s="5" t="s">
        <v>2478</v>
      </c>
      <c r="K1245" s="13" t="s">
        <v>2479</v>
      </c>
    </row>
    <row r="1246">
      <c r="A1246" s="7">
        <v>1245.0</v>
      </c>
      <c r="B1246" s="8">
        <v>8.0</v>
      </c>
      <c r="C1246" s="8">
        <v>13.0</v>
      </c>
      <c r="D1246" s="8">
        <v>14.0</v>
      </c>
      <c r="E1246" s="8">
        <v>19.0</v>
      </c>
      <c r="F1246" s="8">
        <v>36.0</v>
      </c>
      <c r="G1246" s="8">
        <v>43.0</v>
      </c>
      <c r="H1246" s="9">
        <v>30.0</v>
      </c>
      <c r="I1246" s="4">
        <v>45920.0</v>
      </c>
      <c r="J1246" s="5" t="s">
        <v>2480</v>
      </c>
      <c r="K1246" s="10" t="s">
        <v>2481</v>
      </c>
    </row>
    <row r="1247">
      <c r="A1247" s="7">
        <v>1246.0</v>
      </c>
      <c r="B1247" s="8">
        <v>8.0</v>
      </c>
      <c r="C1247" s="8">
        <v>18.0</v>
      </c>
      <c r="D1247" s="8">
        <v>19.0</v>
      </c>
      <c r="E1247" s="8">
        <v>34.0</v>
      </c>
      <c r="F1247" s="8">
        <v>41.0</v>
      </c>
      <c r="G1247" s="8">
        <v>46.0</v>
      </c>
      <c r="H1247" s="9">
        <v>38.0</v>
      </c>
      <c r="I1247" s="4">
        <v>45923.0</v>
      </c>
      <c r="J1247" s="5" t="s">
        <v>2482</v>
      </c>
      <c r="K1247" s="11" t="s">
        <v>2483</v>
      </c>
    </row>
    <row r="1248">
      <c r="A1248" s="7">
        <v>1247.0</v>
      </c>
      <c r="B1248" s="8">
        <v>5.0</v>
      </c>
      <c r="C1248" s="8">
        <v>17.0</v>
      </c>
      <c r="D1248" s="8">
        <v>30.0</v>
      </c>
      <c r="E1248" s="8">
        <v>31.0</v>
      </c>
      <c r="F1248" s="8">
        <v>38.0</v>
      </c>
      <c r="G1248" s="8">
        <v>53.0</v>
      </c>
      <c r="H1248" s="9">
        <v>8.0</v>
      </c>
      <c r="I1248" s="4">
        <v>45925.0</v>
      </c>
      <c r="J1248" s="5" t="s">
        <v>2484</v>
      </c>
      <c r="K1248" s="10" t="s">
        <v>2485</v>
      </c>
    </row>
    <row r="1249">
      <c r="A1249" s="7">
        <v>1248.0</v>
      </c>
      <c r="B1249" s="8">
        <v>8.0</v>
      </c>
      <c r="C1249" s="8">
        <v>13.0</v>
      </c>
      <c r="D1249" s="8">
        <v>19.0</v>
      </c>
      <c r="E1249" s="8">
        <v>24.0</v>
      </c>
      <c r="F1249" s="8">
        <v>39.0</v>
      </c>
      <c r="G1249" s="8">
        <v>46.0</v>
      </c>
      <c r="H1249" s="9">
        <v>1.0</v>
      </c>
      <c r="I1249" s="4">
        <v>45927.0</v>
      </c>
      <c r="J1249" s="5" t="s">
        <v>2486</v>
      </c>
      <c r="K1249" s="11" t="s">
        <v>2487</v>
      </c>
    </row>
    <row r="1250">
      <c r="A1250" s="7">
        <v>1249.0</v>
      </c>
      <c r="B1250" s="8">
        <v>17.0</v>
      </c>
      <c r="C1250" s="8">
        <v>23.0</v>
      </c>
      <c r="D1250" s="8">
        <v>34.0</v>
      </c>
      <c r="E1250" s="8">
        <v>39.0</v>
      </c>
      <c r="F1250" s="8">
        <v>46.0</v>
      </c>
      <c r="G1250" s="8">
        <v>52.0</v>
      </c>
      <c r="H1250" s="9">
        <v>8.0</v>
      </c>
      <c r="I1250" s="4">
        <v>45930.0</v>
      </c>
      <c r="J1250" s="5" t="s">
        <v>2488</v>
      </c>
      <c r="K1250" s="12" t="s">
        <v>2489</v>
      </c>
    </row>
    <row r="1251">
      <c r="A1251" s="7">
        <v>1250.0</v>
      </c>
      <c r="B1251" s="8">
        <v>1.0</v>
      </c>
      <c r="C1251" s="8">
        <v>2.0</v>
      </c>
      <c r="D1251" s="8">
        <v>20.0</v>
      </c>
      <c r="E1251" s="8">
        <v>24.0</v>
      </c>
      <c r="F1251" s="8">
        <v>27.0</v>
      </c>
      <c r="G1251" s="8">
        <v>42.0</v>
      </c>
      <c r="H1251" s="9">
        <v>43.0</v>
      </c>
      <c r="I1251" s="4">
        <v>45932.0</v>
      </c>
      <c r="J1251" s="5" t="s">
        <v>2490</v>
      </c>
      <c r="K1251" s="13" t="s">
        <v>2491</v>
      </c>
    </row>
    <row r="1252">
      <c r="A1252" s="7">
        <v>1251.0</v>
      </c>
      <c r="B1252" s="8">
        <v>22.0</v>
      </c>
      <c r="C1252" s="8">
        <v>33.0</v>
      </c>
      <c r="D1252" s="8">
        <v>35.0</v>
      </c>
      <c r="E1252" s="8">
        <v>36.0</v>
      </c>
      <c r="F1252" s="8">
        <v>38.0</v>
      </c>
      <c r="G1252" s="8">
        <v>40.0</v>
      </c>
      <c r="H1252" s="9">
        <v>7.0</v>
      </c>
      <c r="I1252" s="4">
        <v>45934.0</v>
      </c>
      <c r="J1252" s="5" t="s">
        <v>2492</v>
      </c>
      <c r="K1252" s="12" t="s">
        <v>2493</v>
      </c>
    </row>
    <row r="1253">
      <c r="A1253" s="7">
        <v>1252.0</v>
      </c>
      <c r="B1253" s="8">
        <v>19.0</v>
      </c>
      <c r="C1253" s="8">
        <v>22.0</v>
      </c>
      <c r="D1253" s="8">
        <v>35.0</v>
      </c>
      <c r="E1253" s="8">
        <v>37.0</v>
      </c>
      <c r="F1253" s="8">
        <v>43.0</v>
      </c>
      <c r="G1253" s="8">
        <v>45.0</v>
      </c>
      <c r="H1253" s="9">
        <v>29.0</v>
      </c>
      <c r="I1253" s="4">
        <v>45937.0</v>
      </c>
      <c r="J1253" s="5" t="s">
        <v>2494</v>
      </c>
      <c r="K1253" s="11" t="s">
        <v>2495</v>
      </c>
    </row>
    <row r="1254">
      <c r="A1254" s="7">
        <v>1253.0</v>
      </c>
      <c r="B1254" s="8">
        <v>7.0</v>
      </c>
      <c r="C1254" s="8">
        <v>11.0</v>
      </c>
      <c r="D1254" s="8">
        <v>21.0</v>
      </c>
      <c r="E1254" s="8">
        <v>22.0</v>
      </c>
      <c r="F1254" s="8">
        <v>39.0</v>
      </c>
      <c r="G1254" s="8">
        <v>42.0</v>
      </c>
      <c r="H1254" s="9">
        <v>40.0</v>
      </c>
      <c r="I1254" s="4">
        <v>45939.0</v>
      </c>
      <c r="J1254" s="5" t="s">
        <v>2496</v>
      </c>
      <c r="K1254" s="10" t="s">
        <v>2497</v>
      </c>
    </row>
    <row r="1255">
      <c r="A1255" s="7">
        <v>1254.0</v>
      </c>
      <c r="B1255" s="8">
        <v>3.0</v>
      </c>
      <c r="C1255" s="8">
        <v>7.0</v>
      </c>
      <c r="D1255" s="8">
        <v>26.0</v>
      </c>
      <c r="E1255" s="8">
        <v>43.0</v>
      </c>
      <c r="F1255" s="8">
        <v>44.0</v>
      </c>
      <c r="G1255" s="8">
        <v>46.0</v>
      </c>
      <c r="H1255" s="9">
        <v>25.0</v>
      </c>
      <c r="I1255" s="4">
        <v>45941.0</v>
      </c>
      <c r="J1255" s="5" t="s">
        <v>2498</v>
      </c>
      <c r="K1255" s="13" t="s">
        <v>2499</v>
      </c>
    </row>
    <row r="1256">
      <c r="A1256" s="7">
        <v>1255.0</v>
      </c>
      <c r="B1256" s="8">
        <v>8.0</v>
      </c>
      <c r="C1256" s="8">
        <v>9.0</v>
      </c>
      <c r="D1256" s="8">
        <v>16.0</v>
      </c>
      <c r="E1256" s="8">
        <v>26.0</v>
      </c>
      <c r="F1256" s="8">
        <v>37.0</v>
      </c>
      <c r="G1256" s="8">
        <v>55.0</v>
      </c>
      <c r="H1256" s="9">
        <v>12.0</v>
      </c>
      <c r="I1256" s="4">
        <v>45944.0</v>
      </c>
      <c r="J1256" s="5" t="s">
        <v>2500</v>
      </c>
      <c r="K1256" s="10" t="s">
        <v>2501</v>
      </c>
    </row>
    <row r="1257">
      <c r="A1257" s="7">
        <v>1256.0</v>
      </c>
      <c r="B1257" s="8">
        <v>14.0</v>
      </c>
      <c r="C1257" s="8">
        <v>15.0</v>
      </c>
      <c r="D1257" s="8">
        <v>24.0</v>
      </c>
      <c r="E1257" s="8">
        <v>26.0</v>
      </c>
      <c r="F1257" s="8">
        <v>27.0</v>
      </c>
      <c r="G1257" s="8">
        <v>45.0</v>
      </c>
      <c r="H1257" s="9">
        <v>36.0</v>
      </c>
      <c r="I1257" s="4">
        <v>45946.0</v>
      </c>
      <c r="J1257" s="5" t="s">
        <v>2502</v>
      </c>
      <c r="K1257" s="11" t="s">
        <v>2503</v>
      </c>
    </row>
    <row r="1258">
      <c r="A1258" s="7">
        <v>1257.0</v>
      </c>
      <c r="B1258" s="8">
        <v>5.0</v>
      </c>
      <c r="C1258" s="8">
        <v>16.0</v>
      </c>
      <c r="D1258" s="8">
        <v>19.0</v>
      </c>
      <c r="E1258" s="8">
        <v>21.0</v>
      </c>
      <c r="F1258" s="8">
        <v>38.0</v>
      </c>
      <c r="G1258" s="8">
        <v>43.0</v>
      </c>
      <c r="H1258" s="9">
        <v>50.0</v>
      </c>
      <c r="I1258" s="4">
        <v>45948.0</v>
      </c>
      <c r="J1258" s="5" t="s">
        <v>2504</v>
      </c>
      <c r="K1258" s="10" t="s">
        <v>2505</v>
      </c>
    </row>
    <row r="1259">
      <c r="A1259" s="7">
        <v>1258.0</v>
      </c>
      <c r="B1259" s="8">
        <v>3.0</v>
      </c>
      <c r="C1259" s="8">
        <v>11.0</v>
      </c>
      <c r="D1259" s="8">
        <v>12.0</v>
      </c>
      <c r="E1259" s="8">
        <v>14.0</v>
      </c>
      <c r="F1259" s="8">
        <v>22.0</v>
      </c>
      <c r="G1259" s="8">
        <v>40.0</v>
      </c>
      <c r="H1259" s="9">
        <v>41.0</v>
      </c>
      <c r="I1259" s="4">
        <v>45951.0</v>
      </c>
      <c r="J1259" s="5" t="s">
        <v>2506</v>
      </c>
      <c r="K1259" s="11" t="s">
        <v>2507</v>
      </c>
    </row>
    <row r="1260">
      <c r="A1260" s="7">
        <v>1259.0</v>
      </c>
      <c r="B1260" s="8">
        <v>8.0</v>
      </c>
      <c r="C1260" s="8">
        <v>10.0</v>
      </c>
      <c r="D1260" s="8">
        <v>21.0</v>
      </c>
      <c r="E1260" s="8">
        <v>48.0</v>
      </c>
      <c r="F1260" s="8">
        <v>49.0</v>
      </c>
      <c r="G1260" s="8">
        <v>50.0</v>
      </c>
      <c r="H1260" s="9">
        <v>40.0</v>
      </c>
      <c r="I1260" s="4">
        <v>45953.0</v>
      </c>
      <c r="J1260" s="5" t="s">
        <v>2508</v>
      </c>
      <c r="K1260" s="10" t="s">
        <v>2509</v>
      </c>
    </row>
    <row r="1261">
      <c r="A1261" s="7">
        <v>1260.0</v>
      </c>
      <c r="B1261" s="8">
        <v>3.0</v>
      </c>
      <c r="C1261" s="8">
        <v>5.0</v>
      </c>
      <c r="D1261" s="8">
        <v>11.0</v>
      </c>
      <c r="E1261" s="8">
        <v>13.0</v>
      </c>
      <c r="F1261" s="8">
        <v>24.0</v>
      </c>
      <c r="G1261" s="8">
        <v>27.0</v>
      </c>
      <c r="H1261" s="9">
        <v>45.0</v>
      </c>
      <c r="I1261" s="4">
        <v>45955.0</v>
      </c>
      <c r="J1261" s="5" t="s">
        <v>2510</v>
      </c>
      <c r="K1261" s="13" t="s">
        <v>2511</v>
      </c>
    </row>
    <row r="1262">
      <c r="A1262" s="7">
        <v>1261.0</v>
      </c>
      <c r="B1262" s="8">
        <v>6.0</v>
      </c>
      <c r="C1262" s="8">
        <v>8.0</v>
      </c>
      <c r="D1262" s="8">
        <v>10.0</v>
      </c>
      <c r="E1262" s="8">
        <v>22.0</v>
      </c>
      <c r="F1262" s="8">
        <v>25.0</v>
      </c>
      <c r="G1262" s="8">
        <v>54.0</v>
      </c>
      <c r="H1262" s="9">
        <v>9.0</v>
      </c>
      <c r="I1262" s="4">
        <v>45958.0</v>
      </c>
      <c r="J1262" s="5" t="s">
        <v>2512</v>
      </c>
      <c r="K1262" s="12" t="s">
        <v>2513</v>
      </c>
    </row>
    <row r="1263">
      <c r="A1263" s="7">
        <v>1262.0</v>
      </c>
      <c r="B1263" s="8">
        <v>20.0</v>
      </c>
      <c r="C1263" s="8">
        <v>23.0</v>
      </c>
      <c r="D1263" s="8">
        <v>35.0</v>
      </c>
      <c r="E1263" s="8">
        <v>41.0</v>
      </c>
      <c r="F1263" s="8">
        <v>47.0</v>
      </c>
      <c r="G1263" s="8">
        <v>55.0</v>
      </c>
      <c r="H1263" s="9">
        <v>37.0</v>
      </c>
      <c r="I1263" s="4">
        <v>45960.0</v>
      </c>
      <c r="J1263" s="5" t="s">
        <v>2514</v>
      </c>
      <c r="K1263" s="11" t="s">
        <v>2515</v>
      </c>
    </row>
    <row r="1264">
      <c r="A1264" s="7">
        <v>1263.0</v>
      </c>
      <c r="B1264" s="8">
        <v>7.0</v>
      </c>
      <c r="C1264" s="8">
        <v>11.0</v>
      </c>
      <c r="D1264" s="8">
        <v>28.0</v>
      </c>
      <c r="E1264" s="8">
        <v>29.0</v>
      </c>
      <c r="F1264" s="8">
        <v>31.0</v>
      </c>
      <c r="G1264" s="8">
        <v>33.0</v>
      </c>
      <c r="H1264" s="9">
        <v>8.0</v>
      </c>
      <c r="I1264" s="4">
        <v>45962.0</v>
      </c>
      <c r="J1264" s="5" t="s">
        <v>2516</v>
      </c>
      <c r="K1264" s="12" t="s">
        <v>2517</v>
      </c>
    </row>
    <row r="1265">
      <c r="A1265" s="7">
        <v>1264.0</v>
      </c>
      <c r="B1265" s="8">
        <v>15.0</v>
      </c>
      <c r="C1265" s="8">
        <v>27.0</v>
      </c>
      <c r="D1265" s="8">
        <v>29.0</v>
      </c>
      <c r="E1265" s="8">
        <v>31.0</v>
      </c>
      <c r="F1265" s="8">
        <v>36.0</v>
      </c>
      <c r="G1265" s="8">
        <v>43.0</v>
      </c>
      <c r="H1265" s="9">
        <v>38.0</v>
      </c>
      <c r="I1265" s="4">
        <v>45965.0</v>
      </c>
      <c r="J1265" s="5" t="s">
        <v>2518</v>
      </c>
      <c r="K1265" s="11" t="s">
        <v>2519</v>
      </c>
    </row>
    <row r="1266">
      <c r="A1266" s="7">
        <v>1265.0</v>
      </c>
      <c r="B1266" s="8">
        <v>16.0</v>
      </c>
      <c r="C1266" s="8">
        <v>20.0</v>
      </c>
      <c r="D1266" s="8">
        <v>29.0</v>
      </c>
      <c r="E1266" s="8">
        <v>33.0</v>
      </c>
      <c r="F1266" s="8">
        <v>36.0</v>
      </c>
      <c r="G1266" s="8">
        <v>49.0</v>
      </c>
      <c r="H1266" s="9">
        <v>6.0</v>
      </c>
      <c r="I1266" s="4">
        <v>45967.0</v>
      </c>
      <c r="J1266" s="5" t="s">
        <v>2520</v>
      </c>
      <c r="K1266" s="10" t="s">
        <v>2521</v>
      </c>
    </row>
    <row r="1267">
      <c r="A1267" s="7">
        <v>1266.0</v>
      </c>
      <c r="B1267" s="8">
        <v>14.0</v>
      </c>
      <c r="C1267" s="8">
        <v>16.0</v>
      </c>
      <c r="D1267" s="8">
        <v>19.0</v>
      </c>
      <c r="E1267" s="8">
        <v>22.0</v>
      </c>
      <c r="F1267" s="8">
        <v>27.0</v>
      </c>
      <c r="G1267" s="8">
        <v>44.0</v>
      </c>
      <c r="H1267" s="9">
        <v>18.0</v>
      </c>
      <c r="I1267" s="4">
        <v>45969.0</v>
      </c>
      <c r="J1267" s="5" t="s">
        <v>2522</v>
      </c>
      <c r="K1267" s="13" t="s">
        <v>2523</v>
      </c>
    </row>
    <row r="1268">
      <c r="A1268" s="7">
        <v>1267.0</v>
      </c>
      <c r="B1268" s="8">
        <v>11.0</v>
      </c>
      <c r="C1268" s="8">
        <v>20.0</v>
      </c>
      <c r="D1268" s="8">
        <v>28.0</v>
      </c>
      <c r="E1268" s="8">
        <v>41.0</v>
      </c>
      <c r="F1268" s="8">
        <v>47.0</v>
      </c>
      <c r="G1268" s="8">
        <v>54.0</v>
      </c>
      <c r="H1268" s="9">
        <v>31.0</v>
      </c>
      <c r="I1268" s="4">
        <v>45972.0</v>
      </c>
      <c r="J1268" s="5" t="s">
        <v>2524</v>
      </c>
      <c r="K1268" s="10" t="s">
        <v>2525</v>
      </c>
    </row>
    <row r="1269">
      <c r="A1269" s="7">
        <v>1268.0</v>
      </c>
      <c r="B1269" s="8">
        <v>1.0</v>
      </c>
      <c r="C1269" s="8">
        <v>15.0</v>
      </c>
      <c r="D1269" s="8">
        <v>30.0</v>
      </c>
      <c r="E1269" s="8">
        <v>38.0</v>
      </c>
      <c r="F1269" s="8">
        <v>40.0</v>
      </c>
      <c r="G1269" s="8">
        <v>43.0</v>
      </c>
      <c r="H1269" s="9">
        <v>13.0</v>
      </c>
      <c r="I1269" s="4">
        <v>45974.0</v>
      </c>
      <c r="J1269" s="5" t="s">
        <v>2526</v>
      </c>
      <c r="K1269" s="11" t="s">
        <v>2527</v>
      </c>
    </row>
    <row r="1270">
      <c r="A1270" s="7">
        <v>1269.0</v>
      </c>
      <c r="B1270" s="8">
        <v>2.0</v>
      </c>
      <c r="C1270" s="8">
        <v>30.0</v>
      </c>
      <c r="D1270" s="8">
        <v>33.0</v>
      </c>
      <c r="E1270" s="8">
        <v>35.0</v>
      </c>
      <c r="F1270" s="8">
        <v>42.0</v>
      </c>
      <c r="G1270" s="8">
        <v>54.0</v>
      </c>
      <c r="H1270" s="9">
        <v>45.0</v>
      </c>
      <c r="I1270" s="4">
        <v>45976.0</v>
      </c>
      <c r="J1270" s="5" t="s">
        <v>2528</v>
      </c>
      <c r="K1270" s="12" t="s">
        <v>2529</v>
      </c>
    </row>
    <row r="1271">
      <c r="A1271" s="7">
        <v>1270.0</v>
      </c>
      <c r="B1271" s="8">
        <v>7.0</v>
      </c>
      <c r="C1271" s="8">
        <v>12.0</v>
      </c>
      <c r="D1271" s="8">
        <v>18.0</v>
      </c>
      <c r="E1271" s="8">
        <v>22.0</v>
      </c>
      <c r="F1271" s="8">
        <v>30.0</v>
      </c>
      <c r="G1271" s="8">
        <v>49.0</v>
      </c>
      <c r="H1271" s="9">
        <v>5.0</v>
      </c>
      <c r="I1271" s="4">
        <v>45979.0</v>
      </c>
      <c r="J1271" s="5" t="s">
        <v>2530</v>
      </c>
      <c r="K1271" s="11" t="s">
        <v>2531</v>
      </c>
    </row>
    <row r="1272">
      <c r="A1272" s="7">
        <v>1271.0</v>
      </c>
      <c r="B1272" s="8">
        <v>3.0</v>
      </c>
      <c r="C1272" s="8">
        <v>12.0</v>
      </c>
      <c r="D1272" s="8">
        <v>19.0</v>
      </c>
      <c r="E1272" s="8">
        <v>20.0</v>
      </c>
      <c r="F1272" s="8">
        <v>31.0</v>
      </c>
      <c r="G1272" s="8">
        <v>42.0</v>
      </c>
      <c r="H1272" s="9">
        <v>13.0</v>
      </c>
      <c r="I1272" s="4">
        <v>45981.0</v>
      </c>
      <c r="J1272" s="5" t="s">
        <v>2532</v>
      </c>
      <c r="K1272" s="12" t="s">
        <v>2533</v>
      </c>
    </row>
    <row r="1273">
      <c r="A1273" s="7">
        <v>1272.0</v>
      </c>
      <c r="B1273" s="8">
        <v>8.0</v>
      </c>
      <c r="C1273" s="8">
        <v>10.0</v>
      </c>
      <c r="D1273" s="8">
        <v>19.0</v>
      </c>
      <c r="E1273" s="8">
        <v>29.0</v>
      </c>
      <c r="F1273" s="8">
        <v>34.0</v>
      </c>
      <c r="G1273" s="8">
        <v>46.0</v>
      </c>
      <c r="H1273" s="9">
        <v>14.0</v>
      </c>
      <c r="I1273" s="4">
        <v>45983.0</v>
      </c>
      <c r="J1273" s="5" t="s">
        <v>2534</v>
      </c>
      <c r="K1273" s="11" t="s">
        <v>2535</v>
      </c>
    </row>
    <row r="1274">
      <c r="A1274" s="7">
        <v>1273.0</v>
      </c>
      <c r="B1274" s="8">
        <v>23.0</v>
      </c>
      <c r="C1274" s="8">
        <v>31.0</v>
      </c>
      <c r="D1274" s="8">
        <v>32.0</v>
      </c>
      <c r="E1274" s="8">
        <v>42.0</v>
      </c>
      <c r="F1274" s="8">
        <v>46.0</v>
      </c>
      <c r="G1274" s="8">
        <v>48.0</v>
      </c>
      <c r="H1274" s="9">
        <v>4.0</v>
      </c>
      <c r="I1274" s="4">
        <v>45986.0</v>
      </c>
      <c r="J1274" s="5" t="s">
        <v>2536</v>
      </c>
      <c r="K1274" s="10" t="s">
        <v>2537</v>
      </c>
    </row>
    <row r="1275">
      <c r="A1275" s="7">
        <v>1274.0</v>
      </c>
      <c r="B1275" s="8">
        <v>4.0</v>
      </c>
      <c r="C1275" s="8">
        <v>5.0</v>
      </c>
      <c r="D1275" s="8">
        <v>10.0</v>
      </c>
      <c r="E1275" s="8">
        <v>11.0</v>
      </c>
      <c r="F1275" s="8">
        <v>28.0</v>
      </c>
      <c r="G1275" s="8">
        <v>35.0</v>
      </c>
      <c r="H1275" s="9">
        <v>38.0</v>
      </c>
      <c r="I1275" s="4">
        <v>45988.0</v>
      </c>
      <c r="J1275" s="5" t="s">
        <v>2538</v>
      </c>
      <c r="K1275" s="11" t="s">
        <v>2539</v>
      </c>
    </row>
    <row r="1276">
      <c r="A1276" s="7">
        <v>1275.0</v>
      </c>
      <c r="B1276" s="8">
        <v>4.0</v>
      </c>
      <c r="C1276" s="8">
        <v>20.0</v>
      </c>
      <c r="D1276" s="8">
        <v>24.0</v>
      </c>
      <c r="E1276" s="8">
        <v>27.0</v>
      </c>
      <c r="F1276" s="8">
        <v>40.0</v>
      </c>
      <c r="G1276" s="8">
        <v>48.0</v>
      </c>
      <c r="H1276" s="9">
        <v>9.0</v>
      </c>
      <c r="I1276" s="4">
        <v>45990.0</v>
      </c>
      <c r="J1276" s="5" t="s">
        <v>2540</v>
      </c>
      <c r="K1276" s="10" t="s">
        <v>2541</v>
      </c>
    </row>
    <row r="1277">
      <c r="A1277" s="7">
        <v>1276.0</v>
      </c>
      <c r="B1277" s="8">
        <v>16.0</v>
      </c>
      <c r="C1277" s="8">
        <v>20.0</v>
      </c>
      <c r="D1277" s="8">
        <v>24.0</v>
      </c>
      <c r="E1277" s="8">
        <v>36.0</v>
      </c>
      <c r="F1277" s="8">
        <v>51.0</v>
      </c>
      <c r="G1277" s="8">
        <v>54.0</v>
      </c>
      <c r="H1277" s="9">
        <v>10.0</v>
      </c>
      <c r="I1277" s="4">
        <v>45993.0</v>
      </c>
      <c r="J1277" s="5" t="s">
        <v>2542</v>
      </c>
      <c r="K1277" s="13" t="s">
        <v>2543</v>
      </c>
    </row>
    <row r="1278">
      <c r="A1278" s="7">
        <v>1277.0</v>
      </c>
      <c r="B1278" s="8">
        <v>10.0</v>
      </c>
      <c r="C1278" s="8">
        <v>29.0</v>
      </c>
      <c r="D1278" s="8">
        <v>32.0</v>
      </c>
      <c r="E1278" s="8">
        <v>33.0</v>
      </c>
      <c r="F1278" s="8">
        <v>44.0</v>
      </c>
      <c r="G1278" s="8">
        <v>53.0</v>
      </c>
      <c r="H1278" s="9">
        <v>14.0</v>
      </c>
      <c r="I1278" s="4">
        <v>45995.0</v>
      </c>
      <c r="J1278" s="5" t="s">
        <v>2544</v>
      </c>
      <c r="K1278" s="10" t="s">
        <v>2545</v>
      </c>
    </row>
    <row r="1279">
      <c r="A1279" s="7">
        <v>1278.0</v>
      </c>
      <c r="B1279" s="8">
        <v>12.0</v>
      </c>
      <c r="C1279" s="8">
        <v>26.0</v>
      </c>
      <c r="D1279" s="8">
        <v>34.0</v>
      </c>
      <c r="E1279" s="8">
        <v>37.0</v>
      </c>
      <c r="F1279" s="8">
        <v>50.0</v>
      </c>
      <c r="G1279" s="8">
        <v>52.0</v>
      </c>
      <c r="H1279" s="9">
        <v>15.0</v>
      </c>
      <c r="I1279" s="4">
        <v>45997.0</v>
      </c>
      <c r="J1279" s="5" t="s">
        <v>2546</v>
      </c>
      <c r="K1279" s="11" t="s">
        <v>2547</v>
      </c>
    </row>
    <row r="1280">
      <c r="A1280" s="7">
        <v>1279.0</v>
      </c>
      <c r="B1280" s="8">
        <v>14.0</v>
      </c>
      <c r="C1280" s="8">
        <v>21.0</v>
      </c>
      <c r="D1280" s="8">
        <v>26.0</v>
      </c>
      <c r="E1280" s="8">
        <v>27.0</v>
      </c>
      <c r="F1280" s="8">
        <v>31.0</v>
      </c>
      <c r="G1280" s="8">
        <v>43.0</v>
      </c>
      <c r="H1280" s="9">
        <v>42.0</v>
      </c>
      <c r="I1280" s="4">
        <v>46000.0</v>
      </c>
      <c r="J1280" s="5" t="s">
        <v>2548</v>
      </c>
      <c r="K1280" s="10" t="s">
        <v>2549</v>
      </c>
    </row>
    <row r="1281">
      <c r="A1281" s="7">
        <v>1280.0</v>
      </c>
      <c r="B1281" s="8">
        <v>9.0</v>
      </c>
      <c r="C1281" s="8">
        <v>13.0</v>
      </c>
      <c r="D1281" s="8">
        <v>21.0</v>
      </c>
      <c r="E1281" s="8">
        <v>45.0</v>
      </c>
      <c r="F1281" s="8">
        <v>48.0</v>
      </c>
      <c r="G1281" s="8">
        <v>55.0</v>
      </c>
      <c r="H1281" s="9">
        <v>38.0</v>
      </c>
      <c r="I1281" s="4">
        <v>46002.0</v>
      </c>
      <c r="J1281" s="5" t="s">
        <v>2550</v>
      </c>
      <c r="K1281" s="13" t="s">
        <v>2551</v>
      </c>
    </row>
    <row r="1282">
      <c r="A1282" s="7">
        <v>1281.0</v>
      </c>
      <c r="B1282" s="8">
        <v>5.0</v>
      </c>
      <c r="C1282" s="8">
        <v>8.0</v>
      </c>
      <c r="D1282" s="8">
        <v>12.0</v>
      </c>
      <c r="E1282" s="8">
        <v>18.0</v>
      </c>
      <c r="F1282" s="8">
        <v>20.0</v>
      </c>
      <c r="G1282" s="8">
        <v>38.0</v>
      </c>
      <c r="H1282" s="9">
        <v>52.0</v>
      </c>
      <c r="I1282" s="4">
        <v>46004.0</v>
      </c>
      <c r="J1282" s="5" t="s">
        <v>2552</v>
      </c>
      <c r="K1282" s="10" t="s">
        <v>2553</v>
      </c>
    </row>
    <row r="1283">
      <c r="A1283" s="7">
        <v>1282.0</v>
      </c>
      <c r="B1283" s="8">
        <v>7.0</v>
      </c>
      <c r="C1283" s="8">
        <v>36.0</v>
      </c>
      <c r="D1283" s="8">
        <v>37.0</v>
      </c>
      <c r="E1283" s="8">
        <v>38.0</v>
      </c>
      <c r="F1283" s="8">
        <v>52.0</v>
      </c>
      <c r="G1283" s="8">
        <v>55.0</v>
      </c>
      <c r="H1283" s="9">
        <v>46.0</v>
      </c>
      <c r="I1283" s="4">
        <v>46007.0</v>
      </c>
      <c r="J1283" s="5" t="s">
        <v>2554</v>
      </c>
      <c r="K1283" s="13" t="s">
        <v>2555</v>
      </c>
    </row>
    <row r="1284">
      <c r="A1284" s="7">
        <v>1283.0</v>
      </c>
      <c r="B1284" s="8">
        <v>12.0</v>
      </c>
      <c r="C1284" s="8">
        <v>14.0</v>
      </c>
      <c r="D1284" s="8">
        <v>29.0</v>
      </c>
      <c r="E1284" s="8">
        <v>30.0</v>
      </c>
      <c r="F1284" s="8">
        <v>39.0</v>
      </c>
      <c r="G1284" s="8">
        <v>55.0</v>
      </c>
      <c r="H1284" s="9">
        <v>50.0</v>
      </c>
      <c r="I1284" s="4">
        <v>46009.0</v>
      </c>
      <c r="J1284" s="5" t="s">
        <v>2556</v>
      </c>
      <c r="K1284" s="10" t="s">
        <v>2557</v>
      </c>
    </row>
    <row r="1285">
      <c r="A1285" s="7">
        <v>1284.0</v>
      </c>
      <c r="B1285" s="8">
        <v>22.0</v>
      </c>
      <c r="C1285" s="8">
        <v>32.0</v>
      </c>
      <c r="D1285" s="8">
        <v>33.0</v>
      </c>
      <c r="E1285" s="8">
        <v>35.0</v>
      </c>
      <c r="F1285" s="8">
        <v>40.0</v>
      </c>
      <c r="G1285" s="8">
        <v>41.0</v>
      </c>
      <c r="H1285" s="9">
        <v>23.0</v>
      </c>
      <c r="I1285" s="4">
        <v>46011.0</v>
      </c>
      <c r="J1285" s="5" t="s">
        <v>2558</v>
      </c>
      <c r="K1285" s="11" t="s">
        <v>2559</v>
      </c>
    </row>
    <row r="1286">
      <c r="A1286" s="14">
        <v>1285.0</v>
      </c>
      <c r="B1286" s="15">
        <v>2.0</v>
      </c>
      <c r="C1286" s="15">
        <v>10.0</v>
      </c>
      <c r="D1286" s="15">
        <v>16.0</v>
      </c>
      <c r="E1286" s="15">
        <v>25.0</v>
      </c>
      <c r="F1286" s="15">
        <v>32.0</v>
      </c>
      <c r="G1286" s="15">
        <v>38.0</v>
      </c>
      <c r="H1286" s="16">
        <v>3.0</v>
      </c>
      <c r="I1286" s="17">
        <v>46014.0</v>
      </c>
      <c r="J1286" s="5" t="s">
        <v>2560</v>
      </c>
      <c r="K1286" s="12" t="s">
        <v>2561</v>
      </c>
    </row>
    <row r="1287">
      <c r="A1287" s="14">
        <v>1286.0</v>
      </c>
      <c r="B1287" s="15">
        <v>4.0</v>
      </c>
      <c r="C1287" s="15">
        <v>6.0</v>
      </c>
      <c r="D1287" s="15">
        <v>32.0</v>
      </c>
      <c r="E1287" s="15">
        <v>37.0</v>
      </c>
      <c r="F1287" s="15">
        <v>40.0</v>
      </c>
      <c r="G1287" s="15">
        <v>48.0</v>
      </c>
      <c r="H1287" s="16">
        <v>38.0</v>
      </c>
      <c r="I1287" s="17">
        <v>46016.0</v>
      </c>
      <c r="J1287" s="5" t="s">
        <v>2562</v>
      </c>
      <c r="K1287" s="11" t="s">
        <v>2563</v>
      </c>
    </row>
    <row r="1288">
      <c r="A1288" s="14">
        <v>1287.0</v>
      </c>
      <c r="B1288" s="15">
        <v>16.0</v>
      </c>
      <c r="C1288" s="15">
        <v>21.0</v>
      </c>
      <c r="D1288" s="15">
        <v>30.0</v>
      </c>
      <c r="E1288" s="15">
        <v>37.0</v>
      </c>
      <c r="F1288" s="15">
        <v>39.0</v>
      </c>
      <c r="G1288" s="15">
        <v>40.0</v>
      </c>
      <c r="H1288" s="16">
        <v>13.0</v>
      </c>
      <c r="I1288" s="17">
        <v>46018.0</v>
      </c>
      <c r="J1288" s="5" t="s">
        <v>2564</v>
      </c>
      <c r="K1288" s="10" t="s">
        <v>2565</v>
      </c>
    </row>
    <row r="1289">
      <c r="A1289" s="14">
        <v>1288.0</v>
      </c>
      <c r="B1289" s="15">
        <v>11.0</v>
      </c>
      <c r="C1289" s="15">
        <v>30.0</v>
      </c>
      <c r="D1289" s="15">
        <v>35.0</v>
      </c>
      <c r="E1289" s="15">
        <v>41.0</v>
      </c>
      <c r="F1289" s="15">
        <v>48.0</v>
      </c>
      <c r="G1289" s="15">
        <v>55.0</v>
      </c>
      <c r="H1289" s="16">
        <v>38.0</v>
      </c>
      <c r="I1289" s="17">
        <v>46021.0</v>
      </c>
      <c r="J1289" s="5" t="s">
        <v>2566</v>
      </c>
      <c r="K1289" s="11" t="s">
        <v>2567</v>
      </c>
    </row>
    <row r="1290">
      <c r="A1290" s="5">
        <v>1289.0</v>
      </c>
      <c r="B1290" s="15">
        <v>5.0</v>
      </c>
      <c r="C1290" s="15">
        <v>16.0</v>
      </c>
      <c r="D1290" s="15">
        <v>29.0</v>
      </c>
      <c r="E1290" s="15">
        <v>33.0</v>
      </c>
      <c r="F1290" s="15">
        <v>39.0</v>
      </c>
      <c r="G1290" s="15">
        <v>42.0</v>
      </c>
      <c r="H1290" s="16">
        <v>54.0</v>
      </c>
      <c r="I1290" s="17">
        <v>46023.0</v>
      </c>
      <c r="J1290" s="5" t="s">
        <v>2568</v>
      </c>
      <c r="K1290" s="10" t="s">
        <v>2569</v>
      </c>
    </row>
    <row r="1291">
      <c r="A1291" s="14">
        <v>1290.0</v>
      </c>
      <c r="B1291" s="15">
        <v>10.0</v>
      </c>
      <c r="C1291" s="15">
        <v>16.0</v>
      </c>
      <c r="D1291" s="15">
        <v>17.0</v>
      </c>
      <c r="E1291" s="15">
        <v>23.0</v>
      </c>
      <c r="F1291" s="15">
        <v>33.0</v>
      </c>
      <c r="G1291" s="15">
        <v>36.0</v>
      </c>
      <c r="H1291" s="16">
        <v>42.0</v>
      </c>
      <c r="I1291" s="18">
        <v>46025.0</v>
      </c>
      <c r="J1291" s="5" t="s">
        <v>2570</v>
      </c>
      <c r="K1291" s="5" t="s">
        <v>2571</v>
      </c>
    </row>
    <row r="1292" ht="19.5" customHeight="1">
      <c r="A1292" s="14">
        <v>1291.0</v>
      </c>
      <c r="B1292" s="15">
        <v>22.0</v>
      </c>
      <c r="C1292" s="15">
        <v>28.0</v>
      </c>
      <c r="D1292" s="15">
        <v>29.0</v>
      </c>
      <c r="E1292" s="15">
        <v>30.0</v>
      </c>
      <c r="F1292" s="15">
        <v>34.0</v>
      </c>
      <c r="G1292" s="15">
        <v>47.0</v>
      </c>
      <c r="H1292" s="16">
        <v>20.0</v>
      </c>
      <c r="I1292" s="18">
        <v>46028.0</v>
      </c>
      <c r="J1292" s="5" t="s">
        <v>2572</v>
      </c>
      <c r="K1292" s="5" t="s">
        <v>2573</v>
      </c>
    </row>
    <row r="1293">
      <c r="A1293" s="14">
        <v>1292.0</v>
      </c>
      <c r="B1293" s="15">
        <v>20.0</v>
      </c>
      <c r="C1293" s="15">
        <v>22.0</v>
      </c>
      <c r="D1293" s="15">
        <v>36.0</v>
      </c>
      <c r="E1293" s="15">
        <v>43.0</v>
      </c>
      <c r="F1293" s="15">
        <v>45.0</v>
      </c>
      <c r="G1293" s="15">
        <v>50.0</v>
      </c>
      <c r="H1293" s="16">
        <v>47.0</v>
      </c>
      <c r="I1293" s="19">
        <v>46030.0</v>
      </c>
      <c r="J1293" s="20">
        <v>1.8804752625E11</v>
      </c>
      <c r="K1293" s="20">
        <v>1.08640061E10</v>
      </c>
    </row>
    <row r="1294">
      <c r="A1294" s="14">
        <v>1293.0</v>
      </c>
      <c r="B1294" s="15">
        <v>9.0</v>
      </c>
      <c r="C1294" s="15">
        <v>16.0</v>
      </c>
      <c r="D1294" s="15">
        <v>30.0</v>
      </c>
      <c r="E1294" s="15">
        <v>33.0</v>
      </c>
      <c r="F1294" s="15">
        <v>34.0</v>
      </c>
      <c r="G1294" s="15">
        <v>38.0</v>
      </c>
      <c r="H1294" s="16">
        <v>49.0</v>
      </c>
      <c r="I1294" s="19">
        <v>46032.0</v>
      </c>
      <c r="J1294" s="20">
        <v>1.9982724465E11</v>
      </c>
      <c r="K1294" s="20">
        <v>1.21728637E10</v>
      </c>
    </row>
    <row r="1295">
      <c r="A1295" s="14"/>
      <c r="B1295" s="15"/>
      <c r="C1295" s="15"/>
      <c r="D1295" s="15"/>
      <c r="E1295" s="15"/>
      <c r="F1295" s="15"/>
      <c r="G1295" s="15"/>
      <c r="H1295" s="16"/>
      <c r="I1295" s="18"/>
      <c r="J1295" s="21"/>
      <c r="K1295" s="21"/>
    </row>
    <row r="1296">
      <c r="A1296" s="14"/>
      <c r="B1296" s="15"/>
      <c r="C1296" s="15"/>
      <c r="D1296" s="15"/>
      <c r="E1296" s="15"/>
      <c r="F1296" s="15"/>
      <c r="G1296" s="15"/>
      <c r="H1296" s="16"/>
      <c r="I1296" s="18"/>
      <c r="J1296" s="21"/>
      <c r="K1296" s="21"/>
    </row>
    <row r="1297">
      <c r="A1297" s="14"/>
      <c r="B1297" s="15"/>
      <c r="C1297" s="15"/>
      <c r="D1297" s="15"/>
      <c r="E1297" s="15"/>
      <c r="F1297" s="15"/>
      <c r="G1297" s="15"/>
      <c r="H1297" s="16"/>
      <c r="I1297" s="18"/>
      <c r="J1297" s="21"/>
      <c r="K1297" s="21"/>
    </row>
    <row r="1298">
      <c r="A1298" s="14"/>
      <c r="B1298" s="15"/>
      <c r="C1298" s="15"/>
      <c r="D1298" s="15"/>
      <c r="E1298" s="15"/>
      <c r="F1298" s="15"/>
      <c r="G1298" s="15"/>
      <c r="H1298" s="16"/>
      <c r="I1298" s="18"/>
      <c r="J1298" s="21"/>
      <c r="K1298" s="21"/>
    </row>
    <row r="1299">
      <c r="A1299" s="14"/>
      <c r="B1299" s="15"/>
      <c r="C1299" s="15"/>
      <c r="D1299" s="15"/>
      <c r="E1299" s="15"/>
      <c r="F1299" s="15"/>
      <c r="G1299" s="15"/>
      <c r="H1299" s="16"/>
      <c r="I1299" s="18"/>
      <c r="J1299" s="21"/>
      <c r="K1299" s="21"/>
    </row>
    <row r="1300">
      <c r="A1300" s="14"/>
      <c r="B1300" s="15"/>
      <c r="C1300" s="15"/>
      <c r="D1300" s="15"/>
      <c r="E1300" s="15"/>
      <c r="F1300" s="15"/>
      <c r="G1300" s="15"/>
      <c r="H1300" s="16"/>
      <c r="I1300" s="18"/>
      <c r="J1300" s="21"/>
      <c r="K1300" s="21"/>
    </row>
    <row r="1301">
      <c r="A1301" s="14"/>
      <c r="B1301" s="15"/>
      <c r="C1301" s="15"/>
      <c r="D1301" s="15"/>
      <c r="E1301" s="15"/>
      <c r="F1301" s="15"/>
      <c r="G1301" s="15"/>
      <c r="H1301" s="16"/>
      <c r="I1301" s="18"/>
      <c r="J1301" s="21"/>
      <c r="K1301" s="21"/>
    </row>
    <row r="1302">
      <c r="A1302" s="14"/>
      <c r="B1302" s="15"/>
      <c r="C1302" s="15"/>
      <c r="D1302" s="15"/>
      <c r="E1302" s="15"/>
      <c r="F1302" s="15"/>
      <c r="G1302" s="15"/>
      <c r="H1302" s="16"/>
      <c r="I1302" s="18"/>
      <c r="J1302" s="21"/>
      <c r="K1302" s="21"/>
    </row>
    <row r="1303">
      <c r="A1303" s="14"/>
      <c r="B1303" s="15"/>
      <c r="C1303" s="15"/>
      <c r="D1303" s="15"/>
      <c r="E1303" s="15"/>
      <c r="F1303" s="15"/>
      <c r="G1303" s="15"/>
      <c r="H1303" s="16"/>
      <c r="I1303" s="18"/>
      <c r="J1303" s="21"/>
      <c r="K1303" s="21"/>
    </row>
    <row r="1304">
      <c r="A1304" s="14"/>
      <c r="B1304" s="15"/>
      <c r="C1304" s="15"/>
      <c r="D1304" s="15"/>
      <c r="E1304" s="15"/>
      <c r="F1304" s="15"/>
      <c r="G1304" s="15"/>
      <c r="H1304" s="16"/>
      <c r="I1304" s="18"/>
      <c r="J1304" s="21"/>
      <c r="K1304" s="21"/>
    </row>
    <row r="1305">
      <c r="A1305" s="14"/>
      <c r="B1305" s="15"/>
      <c r="C1305" s="15"/>
      <c r="D1305" s="15"/>
      <c r="E1305" s="15"/>
      <c r="F1305" s="15"/>
      <c r="G1305" s="15"/>
      <c r="H1305" s="16"/>
      <c r="I1305" s="18"/>
      <c r="J1305" s="21"/>
      <c r="K1305" s="21"/>
    </row>
    <row r="1306">
      <c r="A1306" s="14"/>
      <c r="B1306" s="15"/>
      <c r="C1306" s="15"/>
      <c r="D1306" s="15"/>
      <c r="E1306" s="15"/>
      <c r="F1306" s="15"/>
      <c r="G1306" s="15"/>
      <c r="H1306" s="16"/>
      <c r="I1306" s="18"/>
      <c r="J1306" s="21"/>
      <c r="K1306" s="21"/>
    </row>
    <row r="1307">
      <c r="A1307" s="14"/>
      <c r="B1307" s="15"/>
      <c r="C1307" s="15"/>
      <c r="D1307" s="15"/>
      <c r="E1307" s="15"/>
      <c r="F1307" s="15"/>
      <c r="G1307" s="15"/>
      <c r="H1307" s="16"/>
      <c r="I1307" s="18"/>
      <c r="J1307" s="21"/>
      <c r="K1307" s="21"/>
    </row>
    <row r="1308">
      <c r="A1308" s="14"/>
      <c r="B1308" s="15"/>
      <c r="C1308" s="15"/>
      <c r="D1308" s="15"/>
      <c r="E1308" s="15"/>
      <c r="F1308" s="15"/>
      <c r="G1308" s="15"/>
      <c r="H1308" s="16"/>
      <c r="I1308" s="18"/>
      <c r="J1308" s="21"/>
      <c r="K1308" s="21"/>
    </row>
    <row r="1309">
      <c r="A1309" s="14"/>
      <c r="B1309" s="15"/>
      <c r="C1309" s="15"/>
      <c r="D1309" s="15"/>
      <c r="E1309" s="15"/>
      <c r="F1309" s="15"/>
      <c r="G1309" s="15"/>
      <c r="H1309" s="16"/>
      <c r="I1309" s="18"/>
      <c r="J1309" s="21"/>
      <c r="K1309" s="21"/>
    </row>
    <row r="1310">
      <c r="A1310" s="14"/>
      <c r="B1310" s="15"/>
      <c r="C1310" s="15"/>
      <c r="D1310" s="15"/>
      <c r="E1310" s="15"/>
      <c r="F1310" s="15"/>
      <c r="G1310" s="15"/>
      <c r="H1310" s="16"/>
      <c r="I1310" s="18"/>
      <c r="J1310" s="21"/>
      <c r="K1310" s="21"/>
    </row>
    <row r="1311">
      <c r="A1311" s="14"/>
      <c r="B1311" s="15"/>
      <c r="C1311" s="15"/>
      <c r="D1311" s="15"/>
      <c r="E1311" s="15"/>
      <c r="F1311" s="15"/>
      <c r="G1311" s="15"/>
      <c r="H1311" s="16"/>
      <c r="I1311" s="18"/>
      <c r="J1311" s="21"/>
      <c r="K1311" s="21"/>
    </row>
    <row r="1312">
      <c r="A1312" s="14"/>
      <c r="B1312" s="15"/>
      <c r="C1312" s="15"/>
      <c r="D1312" s="15"/>
      <c r="E1312" s="15"/>
      <c r="F1312" s="15"/>
      <c r="G1312" s="15"/>
      <c r="H1312" s="16"/>
      <c r="I1312" s="18"/>
      <c r="J1312" s="21"/>
      <c r="K1312" s="21"/>
    </row>
    <row r="1313">
      <c r="A1313" s="14"/>
      <c r="B1313" s="15"/>
      <c r="C1313" s="15"/>
      <c r="D1313" s="15"/>
      <c r="E1313" s="15"/>
      <c r="F1313" s="15"/>
      <c r="G1313" s="15"/>
      <c r="H1313" s="16"/>
      <c r="I1313" s="18"/>
      <c r="J1313" s="21"/>
      <c r="K1313" s="21"/>
    </row>
    <row r="1314">
      <c r="A1314" s="14"/>
      <c r="B1314" s="15"/>
      <c r="C1314" s="15"/>
      <c r="D1314" s="15"/>
      <c r="E1314" s="15"/>
      <c r="F1314" s="15"/>
      <c r="G1314" s="15"/>
      <c r="H1314" s="16"/>
      <c r="I1314" s="18"/>
      <c r="J1314" s="21"/>
      <c r="K1314" s="21"/>
    </row>
    <row r="1315">
      <c r="A1315" s="14"/>
      <c r="B1315" s="15"/>
      <c r="C1315" s="15"/>
      <c r="D1315" s="15"/>
      <c r="E1315" s="15"/>
      <c r="F1315" s="15"/>
      <c r="G1315" s="15"/>
      <c r="H1315" s="16"/>
      <c r="I1315" s="18"/>
      <c r="J1315" s="21"/>
      <c r="K1315" s="21"/>
    </row>
    <row r="1316">
      <c r="A1316" s="14"/>
      <c r="B1316" s="15"/>
      <c r="C1316" s="15"/>
      <c r="D1316" s="15"/>
      <c r="E1316" s="15"/>
      <c r="F1316" s="15"/>
      <c r="G1316" s="15"/>
      <c r="H1316" s="16"/>
      <c r="I1316" s="18"/>
      <c r="J1316" s="21"/>
      <c r="K1316" s="21"/>
    </row>
    <row r="1317">
      <c r="A1317" s="14"/>
      <c r="B1317" s="15"/>
      <c r="C1317" s="15"/>
      <c r="D1317" s="15"/>
      <c r="E1317" s="15"/>
      <c r="F1317" s="15"/>
      <c r="G1317" s="15"/>
      <c r="H1317" s="16"/>
      <c r="I1317" s="18"/>
      <c r="J1317" s="21"/>
      <c r="K1317" s="21"/>
    </row>
    <row r="1318">
      <c r="A1318" s="14"/>
      <c r="B1318" s="15"/>
      <c r="C1318" s="15"/>
      <c r="D1318" s="15"/>
      <c r="E1318" s="15"/>
      <c r="F1318" s="15"/>
      <c r="G1318" s="15"/>
      <c r="H1318" s="16"/>
      <c r="I1318" s="18"/>
      <c r="J1318" s="21"/>
      <c r="K1318" s="21"/>
    </row>
    <row r="1319">
      <c r="A1319" s="14"/>
      <c r="B1319" s="15"/>
      <c r="C1319" s="15"/>
      <c r="D1319" s="15"/>
      <c r="E1319" s="15"/>
      <c r="F1319" s="15"/>
      <c r="G1319" s="15"/>
      <c r="H1319" s="16"/>
      <c r="I1319" s="18"/>
      <c r="J1319" s="21"/>
      <c r="K1319" s="21"/>
    </row>
    <row r="1320">
      <c r="A1320" s="14"/>
      <c r="B1320" s="15"/>
      <c r="C1320" s="15"/>
      <c r="D1320" s="15"/>
      <c r="E1320" s="15"/>
      <c r="F1320" s="15"/>
      <c r="G1320" s="15"/>
      <c r="H1320" s="16"/>
      <c r="I1320" s="18"/>
      <c r="J1320" s="21"/>
      <c r="K1320" s="21"/>
    </row>
    <row r="1321">
      <c r="A1321" s="14"/>
      <c r="B1321" s="15"/>
      <c r="C1321" s="15"/>
      <c r="D1321" s="15"/>
      <c r="E1321" s="15"/>
      <c r="F1321" s="15"/>
      <c r="G1321" s="15"/>
      <c r="H1321" s="16"/>
      <c r="I1321" s="18"/>
      <c r="J1321" s="21"/>
      <c r="K1321" s="21"/>
    </row>
    <row r="1322">
      <c r="A1322" s="14"/>
      <c r="B1322" s="15"/>
      <c r="C1322" s="15"/>
      <c r="D1322" s="15"/>
      <c r="E1322" s="15"/>
      <c r="F1322" s="15"/>
      <c r="G1322" s="15"/>
      <c r="H1322" s="16"/>
      <c r="I1322" s="18"/>
      <c r="J1322" s="21"/>
      <c r="K1322" s="21"/>
    </row>
    <row r="1323">
      <c r="A1323" s="14"/>
      <c r="B1323" s="15"/>
      <c r="C1323" s="15"/>
      <c r="D1323" s="15"/>
      <c r="E1323" s="15"/>
      <c r="F1323" s="15"/>
      <c r="G1323" s="15"/>
      <c r="H1323" s="16"/>
      <c r="I1323" s="18"/>
      <c r="J1323" s="21"/>
      <c r="K1323" s="21"/>
    </row>
    <row r="1324">
      <c r="A1324" s="14"/>
      <c r="B1324" s="15"/>
      <c r="C1324" s="15"/>
      <c r="D1324" s="15"/>
      <c r="E1324" s="15"/>
      <c r="F1324" s="15"/>
      <c r="G1324" s="15"/>
      <c r="H1324" s="16"/>
      <c r="I1324" s="18"/>
      <c r="J1324" s="21"/>
      <c r="K1324" s="21"/>
    </row>
    <row r="1325">
      <c r="A1325" s="14"/>
      <c r="B1325" s="15"/>
      <c r="C1325" s="15"/>
      <c r="D1325" s="15"/>
      <c r="E1325" s="15"/>
      <c r="F1325" s="15"/>
      <c r="G1325" s="15"/>
      <c r="H1325" s="16"/>
      <c r="I1325" s="18"/>
      <c r="J1325" s="21"/>
      <c r="K1325" s="21"/>
    </row>
    <row r="1326">
      <c r="A1326" s="14"/>
      <c r="B1326" s="15"/>
      <c r="C1326" s="15"/>
      <c r="D1326" s="15"/>
      <c r="E1326" s="15"/>
      <c r="F1326" s="15"/>
      <c r="G1326" s="15"/>
      <c r="H1326" s="16"/>
      <c r="I1326" s="18"/>
      <c r="J1326" s="21"/>
      <c r="K1326" s="21"/>
    </row>
    <row r="1327">
      <c r="A1327" s="14"/>
      <c r="B1327" s="15"/>
      <c r="C1327" s="15"/>
      <c r="D1327" s="15"/>
      <c r="E1327" s="15"/>
      <c r="F1327" s="15"/>
      <c r="G1327" s="15"/>
      <c r="H1327" s="16"/>
      <c r="I1327" s="18"/>
      <c r="J1327" s="21"/>
      <c r="K1327" s="21"/>
    </row>
    <row r="1328">
      <c r="A1328" s="14"/>
      <c r="B1328" s="15"/>
      <c r="C1328" s="15"/>
      <c r="D1328" s="15"/>
      <c r="E1328" s="15"/>
      <c r="F1328" s="15"/>
      <c r="G1328" s="15"/>
      <c r="H1328" s="16"/>
      <c r="I1328" s="18"/>
      <c r="J1328" s="21"/>
      <c r="K1328" s="21"/>
    </row>
    <row r="1329">
      <c r="A1329" s="14"/>
      <c r="B1329" s="15"/>
      <c r="C1329" s="15"/>
      <c r="D1329" s="15"/>
      <c r="E1329" s="15"/>
      <c r="F1329" s="15"/>
      <c r="G1329" s="15"/>
      <c r="H1329" s="16"/>
      <c r="I1329" s="18"/>
      <c r="J1329" s="21"/>
      <c r="K1329" s="21"/>
    </row>
    <row r="1330">
      <c r="A1330" s="14"/>
      <c r="B1330" s="15"/>
      <c r="C1330" s="15"/>
      <c r="D1330" s="15"/>
      <c r="E1330" s="15"/>
      <c r="F1330" s="15"/>
      <c r="G1330" s="15"/>
      <c r="H1330" s="16"/>
      <c r="I1330" s="18"/>
      <c r="J1330" s="21"/>
      <c r="K1330" s="21"/>
    </row>
    <row r="1331">
      <c r="A1331" s="14"/>
      <c r="B1331" s="15"/>
      <c r="C1331" s="15"/>
      <c r="D1331" s="15"/>
      <c r="E1331" s="15"/>
      <c r="F1331" s="15"/>
      <c r="G1331" s="15"/>
      <c r="H1331" s="16"/>
      <c r="I1331" s="18"/>
      <c r="J1331" s="21"/>
      <c r="K1331" s="21"/>
    </row>
    <row r="1332">
      <c r="A1332" s="14"/>
      <c r="B1332" s="15"/>
      <c r="C1332" s="15"/>
      <c r="D1332" s="15"/>
      <c r="E1332" s="15"/>
      <c r="F1332" s="15"/>
      <c r="G1332" s="15"/>
      <c r="H1332" s="16"/>
      <c r="I1332" s="18"/>
      <c r="J1332" s="21"/>
      <c r="K1332" s="21"/>
    </row>
    <row r="1333">
      <c r="A1333" s="14"/>
      <c r="B1333" s="15"/>
      <c r="C1333" s="15"/>
      <c r="D1333" s="15"/>
      <c r="E1333" s="15"/>
      <c r="F1333" s="15"/>
      <c r="G1333" s="15"/>
      <c r="H1333" s="16"/>
      <c r="I1333" s="18"/>
      <c r="J1333" s="21"/>
      <c r="K1333" s="21"/>
    </row>
    <row r="1334">
      <c r="A1334" s="14"/>
      <c r="B1334" s="15"/>
      <c r="C1334" s="15"/>
      <c r="D1334" s="15"/>
      <c r="E1334" s="15"/>
      <c r="F1334" s="15"/>
      <c r="G1334" s="15"/>
      <c r="H1334" s="16"/>
      <c r="I1334" s="18"/>
      <c r="J1334" s="21"/>
      <c r="K1334" s="21"/>
    </row>
    <row r="1335">
      <c r="A1335" s="14"/>
      <c r="B1335" s="15"/>
      <c r="C1335" s="15"/>
      <c r="D1335" s="15"/>
      <c r="E1335" s="15"/>
      <c r="F1335" s="15"/>
      <c r="G1335" s="15"/>
      <c r="H1335" s="16"/>
      <c r="I1335" s="18"/>
      <c r="J1335" s="21"/>
      <c r="K1335" s="21"/>
    </row>
    <row r="1336">
      <c r="A1336" s="14"/>
      <c r="B1336" s="15"/>
      <c r="C1336" s="15"/>
      <c r="D1336" s="15"/>
      <c r="E1336" s="15"/>
      <c r="F1336" s="15"/>
      <c r="G1336" s="15"/>
      <c r="H1336" s="16"/>
      <c r="I1336" s="18"/>
      <c r="J1336" s="21"/>
      <c r="K1336" s="21"/>
    </row>
    <row r="1337">
      <c r="A1337" s="14"/>
      <c r="B1337" s="15"/>
      <c r="C1337" s="15"/>
      <c r="D1337" s="15"/>
      <c r="E1337" s="15"/>
      <c r="F1337" s="15"/>
      <c r="G1337" s="15"/>
      <c r="H1337" s="16"/>
      <c r="I1337" s="18"/>
      <c r="J1337" s="21"/>
      <c r="K1337" s="21"/>
    </row>
    <row r="1338">
      <c r="A1338" s="14"/>
      <c r="B1338" s="15"/>
      <c r="C1338" s="15"/>
      <c r="D1338" s="15"/>
      <c r="E1338" s="15"/>
      <c r="F1338" s="15"/>
      <c r="G1338" s="15"/>
      <c r="H1338" s="16"/>
      <c r="I1338" s="18"/>
      <c r="J1338" s="21"/>
      <c r="K1338" s="21"/>
    </row>
    <row r="1339">
      <c r="A1339" s="14"/>
      <c r="B1339" s="15"/>
      <c r="C1339" s="15"/>
      <c r="D1339" s="15"/>
      <c r="E1339" s="15"/>
      <c r="F1339" s="15"/>
      <c r="G1339" s="15"/>
      <c r="H1339" s="16"/>
      <c r="I1339" s="18"/>
      <c r="J1339" s="21"/>
      <c r="K1339" s="21"/>
    </row>
    <row r="1340">
      <c r="A1340" s="14"/>
      <c r="B1340" s="15"/>
      <c r="C1340" s="15"/>
      <c r="D1340" s="15"/>
      <c r="E1340" s="15"/>
      <c r="F1340" s="15"/>
      <c r="G1340" s="15"/>
      <c r="H1340" s="16"/>
      <c r="I1340" s="18"/>
      <c r="J1340" s="21"/>
      <c r="K1340" s="21"/>
    </row>
    <row r="1341">
      <c r="A1341" s="14"/>
      <c r="B1341" s="15"/>
      <c r="C1341" s="15"/>
      <c r="D1341" s="15"/>
      <c r="E1341" s="15"/>
      <c r="F1341" s="15"/>
      <c r="G1341" s="15"/>
      <c r="H1341" s="16"/>
      <c r="I1341" s="18"/>
      <c r="J1341" s="21"/>
      <c r="K1341" s="21"/>
    </row>
    <row r="1342">
      <c r="A1342" s="14"/>
      <c r="B1342" s="15"/>
      <c r="C1342" s="15"/>
      <c r="D1342" s="15"/>
      <c r="E1342" s="15"/>
      <c r="F1342" s="15"/>
      <c r="G1342" s="15"/>
      <c r="H1342" s="16"/>
      <c r="I1342" s="18"/>
      <c r="J1342" s="21"/>
      <c r="K1342" s="21"/>
    </row>
    <row r="1343">
      <c r="A1343" s="14"/>
      <c r="B1343" s="15"/>
      <c r="C1343" s="15"/>
      <c r="D1343" s="15"/>
      <c r="E1343" s="15"/>
      <c r="F1343" s="15"/>
      <c r="G1343" s="15"/>
      <c r="H1343" s="16"/>
      <c r="I1343" s="18"/>
      <c r="J1343" s="21"/>
      <c r="K1343" s="21"/>
    </row>
    <row r="1344">
      <c r="A1344" s="14"/>
      <c r="B1344" s="15"/>
      <c r="C1344" s="15"/>
      <c r="D1344" s="15"/>
      <c r="E1344" s="15"/>
      <c r="F1344" s="15"/>
      <c r="G1344" s="15"/>
      <c r="H1344" s="16"/>
      <c r="I1344" s="18"/>
      <c r="J1344" s="21"/>
      <c r="K1344" s="21"/>
    </row>
    <row r="1345">
      <c r="A1345" s="14"/>
      <c r="B1345" s="15"/>
      <c r="C1345" s="15"/>
      <c r="D1345" s="15"/>
      <c r="E1345" s="15"/>
      <c r="F1345" s="15"/>
      <c r="G1345" s="15"/>
      <c r="H1345" s="16"/>
      <c r="I1345" s="18"/>
      <c r="J1345" s="21"/>
      <c r="K1345" s="21"/>
    </row>
    <row r="1346">
      <c r="A1346" s="14"/>
      <c r="B1346" s="15"/>
      <c r="C1346" s="15"/>
      <c r="D1346" s="15"/>
      <c r="E1346" s="15"/>
      <c r="F1346" s="15"/>
      <c r="G1346" s="15"/>
      <c r="H1346" s="16"/>
      <c r="I1346" s="18"/>
      <c r="J1346" s="21"/>
      <c r="K1346" s="21"/>
    </row>
    <row r="1347">
      <c r="A1347" s="14"/>
      <c r="B1347" s="15"/>
      <c r="C1347" s="15"/>
      <c r="D1347" s="15"/>
      <c r="E1347" s="15"/>
      <c r="F1347" s="15"/>
      <c r="G1347" s="15"/>
      <c r="H1347" s="16"/>
      <c r="I1347" s="18"/>
      <c r="J1347" s="21"/>
      <c r="K1347" s="21"/>
    </row>
    <row r="1348">
      <c r="A1348" s="14"/>
      <c r="B1348" s="15"/>
      <c r="C1348" s="15"/>
      <c r="D1348" s="15"/>
      <c r="E1348" s="15"/>
      <c r="F1348" s="15"/>
      <c r="G1348" s="15"/>
      <c r="H1348" s="16"/>
      <c r="I1348" s="18"/>
      <c r="J1348" s="21"/>
      <c r="K1348" s="21"/>
    </row>
    <row r="1349">
      <c r="A1349" s="14"/>
      <c r="B1349" s="15"/>
      <c r="C1349" s="15"/>
      <c r="D1349" s="15"/>
      <c r="E1349" s="15"/>
      <c r="F1349" s="15"/>
      <c r="G1349" s="15"/>
      <c r="H1349" s="16"/>
      <c r="I1349" s="18"/>
      <c r="J1349" s="21"/>
      <c r="K1349" s="21"/>
    </row>
    <row r="1350">
      <c r="A1350" s="14"/>
      <c r="B1350" s="15"/>
      <c r="C1350" s="15"/>
      <c r="D1350" s="15"/>
      <c r="E1350" s="15"/>
      <c r="F1350" s="15"/>
      <c r="G1350" s="15"/>
      <c r="H1350" s="16"/>
      <c r="I1350" s="18"/>
      <c r="J1350" s="21"/>
      <c r="K1350" s="21"/>
    </row>
    <row r="1351">
      <c r="A1351" s="14"/>
      <c r="B1351" s="15"/>
      <c r="C1351" s="15"/>
      <c r="D1351" s="15"/>
      <c r="E1351" s="15"/>
      <c r="F1351" s="15"/>
      <c r="G1351" s="15"/>
      <c r="H1351" s="16"/>
      <c r="I1351" s="18"/>
      <c r="J1351" s="21"/>
      <c r="K1351" s="21"/>
    </row>
    <row r="1352">
      <c r="A1352" s="14"/>
      <c r="B1352" s="15"/>
      <c r="C1352" s="15"/>
      <c r="D1352" s="15"/>
      <c r="E1352" s="15"/>
      <c r="F1352" s="15"/>
      <c r="G1352" s="15"/>
      <c r="H1352" s="16"/>
      <c r="I1352" s="18"/>
      <c r="J1352" s="21"/>
      <c r="K1352" s="21"/>
    </row>
    <row r="1353">
      <c r="A1353" s="14"/>
      <c r="B1353" s="15"/>
      <c r="C1353" s="15"/>
      <c r="D1353" s="15"/>
      <c r="E1353" s="15"/>
      <c r="F1353" s="15"/>
      <c r="G1353" s="15"/>
      <c r="H1353" s="16"/>
      <c r="I1353" s="18"/>
      <c r="J1353" s="21"/>
      <c r="K1353" s="21"/>
    </row>
    <row r="1354">
      <c r="A1354" s="14"/>
      <c r="B1354" s="15"/>
      <c r="C1354" s="15"/>
      <c r="D1354" s="15"/>
      <c r="E1354" s="15"/>
      <c r="F1354" s="15"/>
      <c r="G1354" s="15"/>
      <c r="H1354" s="16"/>
      <c r="I1354" s="18"/>
      <c r="J1354" s="21"/>
      <c r="K1354" s="21"/>
    </row>
    <row r="1355">
      <c r="A1355" s="14"/>
      <c r="B1355" s="15"/>
      <c r="C1355" s="15"/>
      <c r="D1355" s="15"/>
      <c r="E1355" s="15"/>
      <c r="F1355" s="15"/>
      <c r="G1355" s="15"/>
      <c r="H1355" s="16"/>
      <c r="I1355" s="18"/>
      <c r="J1355" s="21"/>
      <c r="K1355" s="21"/>
    </row>
    <row r="1356">
      <c r="A1356" s="14"/>
      <c r="B1356" s="15"/>
      <c r="C1356" s="15"/>
      <c r="D1356" s="15"/>
      <c r="E1356" s="15"/>
      <c r="F1356" s="15"/>
      <c r="G1356" s="15"/>
      <c r="H1356" s="16"/>
      <c r="I1356" s="18"/>
      <c r="J1356" s="21"/>
      <c r="K1356" s="21"/>
    </row>
    <row r="1357">
      <c r="A1357" s="14"/>
      <c r="B1357" s="15"/>
      <c r="C1357" s="15"/>
      <c r="D1357" s="15"/>
      <c r="E1357" s="15"/>
      <c r="F1357" s="15"/>
      <c r="G1357" s="15"/>
      <c r="H1357" s="16"/>
      <c r="I1357" s="18"/>
      <c r="J1357" s="21"/>
      <c r="K1357" s="21"/>
    </row>
    <row r="1358">
      <c r="A1358" s="14"/>
      <c r="B1358" s="15"/>
      <c r="C1358" s="15"/>
      <c r="D1358" s="15"/>
      <c r="E1358" s="15"/>
      <c r="F1358" s="15"/>
      <c r="G1358" s="15"/>
      <c r="H1358" s="16"/>
      <c r="I1358" s="18"/>
      <c r="J1358" s="21"/>
      <c r="K1358" s="21"/>
    </row>
    <row r="1359">
      <c r="A1359" s="14"/>
      <c r="B1359" s="15"/>
      <c r="C1359" s="15"/>
      <c r="D1359" s="15"/>
      <c r="E1359" s="15"/>
      <c r="F1359" s="15"/>
      <c r="G1359" s="15"/>
      <c r="H1359" s="16"/>
      <c r="I1359" s="18"/>
      <c r="J1359" s="21"/>
      <c r="K1359" s="21"/>
    </row>
    <row r="1360">
      <c r="A1360" s="14"/>
      <c r="B1360" s="15"/>
      <c r="C1360" s="15"/>
      <c r="D1360" s="15"/>
      <c r="E1360" s="15"/>
      <c r="F1360" s="15"/>
      <c r="G1360" s="15"/>
      <c r="H1360" s="16"/>
      <c r="I1360" s="18"/>
      <c r="J1360" s="21"/>
      <c r="K1360" s="21"/>
    </row>
    <row r="1361">
      <c r="A1361" s="14"/>
      <c r="B1361" s="15"/>
      <c r="C1361" s="15"/>
      <c r="D1361" s="15"/>
      <c r="E1361" s="15"/>
      <c r="F1361" s="15"/>
      <c r="G1361" s="15"/>
      <c r="H1361" s="16"/>
      <c r="I1361" s="18"/>
      <c r="J1361" s="21"/>
      <c r="K1361" s="21"/>
    </row>
    <row r="1362">
      <c r="A1362" s="14"/>
      <c r="B1362" s="15"/>
      <c r="C1362" s="15"/>
      <c r="D1362" s="15"/>
      <c r="E1362" s="15"/>
      <c r="F1362" s="15"/>
      <c r="G1362" s="15"/>
      <c r="H1362" s="16"/>
      <c r="I1362" s="18"/>
      <c r="J1362" s="21"/>
      <c r="K1362" s="21"/>
    </row>
    <row r="1363">
      <c r="A1363" s="14"/>
      <c r="B1363" s="15"/>
      <c r="C1363" s="15"/>
      <c r="D1363" s="15"/>
      <c r="E1363" s="15"/>
      <c r="F1363" s="15"/>
      <c r="G1363" s="15"/>
      <c r="H1363" s="16"/>
      <c r="I1363" s="18"/>
      <c r="J1363" s="21"/>
      <c r="K1363" s="21"/>
    </row>
    <row r="1364">
      <c r="A1364" s="14"/>
      <c r="B1364" s="15"/>
      <c r="C1364" s="15"/>
      <c r="D1364" s="15"/>
      <c r="E1364" s="15"/>
      <c r="F1364" s="15"/>
      <c r="G1364" s="15"/>
      <c r="H1364" s="16"/>
      <c r="I1364" s="18"/>
      <c r="J1364" s="21"/>
      <c r="K1364" s="21"/>
    </row>
    <row r="1365">
      <c r="A1365" s="14"/>
      <c r="B1365" s="15"/>
      <c r="C1365" s="15"/>
      <c r="D1365" s="15"/>
      <c r="E1365" s="15"/>
      <c r="F1365" s="15"/>
      <c r="G1365" s="15"/>
      <c r="H1365" s="16"/>
      <c r="I1365" s="18"/>
      <c r="J1365" s="21"/>
      <c r="K1365" s="21"/>
    </row>
    <row r="1366">
      <c r="A1366" s="14"/>
      <c r="B1366" s="15"/>
      <c r="C1366" s="15"/>
      <c r="D1366" s="15"/>
      <c r="E1366" s="15"/>
      <c r="F1366" s="15"/>
      <c r="G1366" s="15"/>
      <c r="H1366" s="16"/>
      <c r="I1366" s="18"/>
      <c r="J1366" s="21"/>
      <c r="K1366" s="21"/>
    </row>
    <row r="1367">
      <c r="A1367" s="14"/>
      <c r="B1367" s="15"/>
      <c r="C1367" s="15"/>
      <c r="D1367" s="15"/>
      <c r="E1367" s="15"/>
      <c r="F1367" s="15"/>
      <c r="G1367" s="15"/>
      <c r="H1367" s="16"/>
      <c r="I1367" s="18"/>
      <c r="J1367" s="21"/>
      <c r="K1367" s="21"/>
    </row>
    <row r="1368">
      <c r="A1368" s="14"/>
      <c r="B1368" s="15"/>
      <c r="C1368" s="15"/>
      <c r="D1368" s="15"/>
      <c r="E1368" s="15"/>
      <c r="F1368" s="15"/>
      <c r="G1368" s="15"/>
      <c r="H1368" s="16"/>
      <c r="I1368" s="18"/>
      <c r="J1368" s="21"/>
      <c r="K1368" s="21"/>
    </row>
    <row r="1369">
      <c r="A1369" s="14"/>
      <c r="B1369" s="15"/>
      <c r="C1369" s="15"/>
      <c r="D1369" s="15"/>
      <c r="E1369" s="15"/>
      <c r="F1369" s="15"/>
      <c r="G1369" s="15"/>
      <c r="H1369" s="16"/>
      <c r="I1369" s="18"/>
      <c r="J1369" s="21"/>
      <c r="K1369" s="21"/>
    </row>
    <row r="1370">
      <c r="A1370" s="14"/>
      <c r="B1370" s="15"/>
      <c r="C1370" s="15"/>
      <c r="D1370" s="15"/>
      <c r="E1370" s="15"/>
      <c r="F1370" s="15"/>
      <c r="G1370" s="15"/>
      <c r="H1370" s="16"/>
      <c r="I1370" s="18"/>
      <c r="J1370" s="21"/>
      <c r="K1370" s="21"/>
    </row>
    <row r="1371">
      <c r="A1371" s="14"/>
      <c r="B1371" s="15"/>
      <c r="C1371" s="15"/>
      <c r="D1371" s="15"/>
      <c r="E1371" s="15"/>
      <c r="F1371" s="15"/>
      <c r="G1371" s="15"/>
      <c r="H1371" s="16"/>
      <c r="I1371" s="18"/>
      <c r="J1371" s="21"/>
      <c r="K1371" s="21"/>
    </row>
    <row r="1372">
      <c r="A1372" s="14"/>
      <c r="B1372" s="15"/>
      <c r="C1372" s="15"/>
      <c r="D1372" s="15"/>
      <c r="E1372" s="15"/>
      <c r="F1372" s="15"/>
      <c r="G1372" s="15"/>
      <c r="H1372" s="16"/>
      <c r="I1372" s="18"/>
      <c r="J1372" s="21"/>
      <c r="K1372" s="21"/>
    </row>
    <row r="1373">
      <c r="A1373" s="14"/>
      <c r="B1373" s="15"/>
      <c r="C1373" s="15"/>
      <c r="D1373" s="15"/>
      <c r="E1373" s="15"/>
      <c r="F1373" s="15"/>
      <c r="G1373" s="15"/>
      <c r="H1373" s="16"/>
      <c r="I1373" s="18"/>
      <c r="J1373" s="21"/>
      <c r="K1373" s="21"/>
    </row>
    <row r="1374">
      <c r="A1374" s="14"/>
      <c r="B1374" s="15"/>
      <c r="C1374" s="15"/>
      <c r="D1374" s="15"/>
      <c r="E1374" s="15"/>
      <c r="F1374" s="15"/>
      <c r="G1374" s="15"/>
      <c r="H1374" s="16"/>
      <c r="I1374" s="18"/>
      <c r="J1374" s="21"/>
      <c r="K1374" s="21"/>
    </row>
    <row r="1375">
      <c r="A1375" s="14"/>
      <c r="B1375" s="15"/>
      <c r="C1375" s="15"/>
      <c r="D1375" s="15"/>
      <c r="E1375" s="15"/>
      <c r="F1375" s="15"/>
      <c r="G1375" s="15"/>
      <c r="H1375" s="16"/>
      <c r="I1375" s="18"/>
      <c r="J1375" s="21"/>
      <c r="K1375" s="21"/>
    </row>
    <row r="1376">
      <c r="A1376" s="14"/>
      <c r="B1376" s="15"/>
      <c r="C1376" s="15"/>
      <c r="D1376" s="15"/>
      <c r="E1376" s="15"/>
      <c r="F1376" s="15"/>
      <c r="G1376" s="15"/>
      <c r="H1376" s="16"/>
      <c r="I1376" s="18"/>
      <c r="J1376" s="21"/>
      <c r="K1376" s="21"/>
    </row>
    <row r="1377">
      <c r="A1377" s="14"/>
      <c r="B1377" s="15"/>
      <c r="C1377" s="15"/>
      <c r="D1377" s="15"/>
      <c r="E1377" s="15"/>
      <c r="F1377" s="15"/>
      <c r="G1377" s="15"/>
      <c r="H1377" s="16"/>
      <c r="I1377" s="18"/>
      <c r="J1377" s="21"/>
      <c r="K1377" s="21"/>
    </row>
    <row r="1378">
      <c r="A1378" s="14"/>
      <c r="B1378" s="15"/>
      <c r="C1378" s="15"/>
      <c r="D1378" s="15"/>
      <c r="E1378" s="15"/>
      <c r="F1378" s="15"/>
      <c r="G1378" s="15"/>
      <c r="H1378" s="16"/>
      <c r="I1378" s="18"/>
      <c r="J1378" s="21"/>
      <c r="K1378" s="21"/>
    </row>
    <row r="1379">
      <c r="A1379" s="14"/>
      <c r="B1379" s="15"/>
      <c r="C1379" s="15"/>
      <c r="D1379" s="15"/>
      <c r="E1379" s="15"/>
      <c r="F1379" s="15"/>
      <c r="G1379" s="15"/>
      <c r="H1379" s="16"/>
      <c r="I1379" s="18"/>
      <c r="J1379" s="21"/>
      <c r="K1379" s="21"/>
    </row>
    <row r="1380">
      <c r="A1380" s="14"/>
      <c r="B1380" s="15"/>
      <c r="C1380" s="15"/>
      <c r="D1380" s="15"/>
      <c r="E1380" s="15"/>
      <c r="F1380" s="15"/>
      <c r="G1380" s="15"/>
      <c r="H1380" s="16"/>
      <c r="I1380" s="18"/>
      <c r="J1380" s="21"/>
      <c r="K1380" s="21"/>
    </row>
    <row r="1381">
      <c r="A1381" s="14"/>
      <c r="B1381" s="15"/>
      <c r="C1381" s="15"/>
      <c r="D1381" s="15"/>
      <c r="E1381" s="15"/>
      <c r="F1381" s="15"/>
      <c r="G1381" s="15"/>
      <c r="H1381" s="16"/>
      <c r="I1381" s="18"/>
      <c r="J1381" s="21"/>
      <c r="K1381" s="21"/>
    </row>
    <row r="1382">
      <c r="A1382" s="14"/>
      <c r="B1382" s="15"/>
      <c r="C1382" s="15"/>
      <c r="D1382" s="15"/>
      <c r="E1382" s="15"/>
      <c r="F1382" s="15"/>
      <c r="G1382" s="15"/>
      <c r="H1382" s="16"/>
      <c r="I1382" s="18"/>
      <c r="J1382" s="21"/>
      <c r="K1382" s="2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3.63"/>
    <col customWidth="1" min="3" max="3" width="22.0"/>
    <col customWidth="1" min="4" max="4" width="17.13"/>
    <col customWidth="1" min="5" max="5" width="21.5"/>
    <col customWidth="1" min="6" max="6" width="14.75"/>
    <col customWidth="1" min="7" max="8" width="6.5"/>
    <col customWidth="1" min="10" max="11" width="16.63"/>
  </cols>
  <sheetData>
    <row r="1">
      <c r="A1" s="10" t="s">
        <v>8</v>
      </c>
      <c r="B1" s="22" t="s">
        <v>2574</v>
      </c>
      <c r="C1" s="10" t="s">
        <v>2575</v>
      </c>
      <c r="D1" s="10" t="s">
        <v>2576</v>
      </c>
      <c r="E1" s="23"/>
      <c r="F1" s="24" t="s">
        <v>2577</v>
      </c>
    </row>
    <row r="2">
      <c r="A2" s="10" t="s">
        <v>2578</v>
      </c>
      <c r="B2" s="25" t="s">
        <v>2579</v>
      </c>
      <c r="C2" s="10" t="s">
        <v>11</v>
      </c>
      <c r="D2" s="10" t="s">
        <v>12</v>
      </c>
      <c r="E2" s="23" t="str">
        <f>IFERROR(__xludf.DUMMYFUNCTION("REGEXEXTRACT(TO_TEXT(A2), ""(\d{2}/\d{2}/\d{4})"")"),"01/08/2017")</f>
        <v>01/08/2017</v>
      </c>
      <c r="F2" s="26">
        <f t="shared" ref="F2:F1290" si="1">DATE(RIGHT(E2,4), MID(E2,4,2), LEFT(E2,2))</f>
        <v>42948</v>
      </c>
    </row>
    <row r="3">
      <c r="A3" s="11" t="s">
        <v>2580</v>
      </c>
      <c r="B3" s="25" t="s">
        <v>2581</v>
      </c>
      <c r="C3" s="11" t="s">
        <v>13</v>
      </c>
      <c r="D3" s="11" t="s">
        <v>14</v>
      </c>
      <c r="E3" s="23" t="str">
        <f>IFERROR(__xludf.DUMMYFUNCTION("REGEXEXTRACT(TO_TEXT(A3), ""(\d{2}/\d{2}/\d{4})"")"),"03/08/2017")</f>
        <v>03/08/2017</v>
      </c>
      <c r="F3" s="26">
        <f t="shared" si="1"/>
        <v>42950</v>
      </c>
      <c r="I3" s="27"/>
    </row>
    <row r="4">
      <c r="A4" s="10" t="s">
        <v>2582</v>
      </c>
      <c r="B4" s="25" t="s">
        <v>2583</v>
      </c>
      <c r="C4" s="10" t="s">
        <v>15</v>
      </c>
      <c r="D4" s="10" t="s">
        <v>16</v>
      </c>
      <c r="E4" s="23" t="str">
        <f>IFERROR(__xludf.DUMMYFUNCTION("REGEXEXTRACT(TO_TEXT(A4), ""(\d{2}/\d{2}/\d{4})"")"),"05/08/2017")</f>
        <v>05/08/2017</v>
      </c>
      <c r="F4" s="26">
        <f t="shared" si="1"/>
        <v>42952</v>
      </c>
      <c r="I4" s="27"/>
    </row>
    <row r="5">
      <c r="A5" s="11" t="s">
        <v>2584</v>
      </c>
      <c r="B5" s="25" t="s">
        <v>2585</v>
      </c>
      <c r="C5" s="11" t="s">
        <v>17</v>
      </c>
      <c r="D5" s="11" t="s">
        <v>18</v>
      </c>
      <c r="E5" s="23" t="str">
        <f>IFERROR(__xludf.DUMMYFUNCTION("REGEXEXTRACT(TO_TEXT(A5), ""(\d{2}/\d{2}/\d{4})"")"),"08/08/2017")</f>
        <v>08/08/2017</v>
      </c>
      <c r="F5" s="26">
        <f t="shared" si="1"/>
        <v>42955</v>
      </c>
    </row>
    <row r="6">
      <c r="A6" s="10" t="s">
        <v>2586</v>
      </c>
      <c r="B6" s="25" t="s">
        <v>2587</v>
      </c>
      <c r="C6" s="10" t="s">
        <v>19</v>
      </c>
      <c r="D6" s="10" t="s">
        <v>20</v>
      </c>
      <c r="E6" s="23" t="str">
        <f>IFERROR(__xludf.DUMMYFUNCTION("REGEXEXTRACT(TO_TEXT(A6), ""(\d{2}/\d{2}/\d{4})"")"),"10/08/2017")</f>
        <v>10/08/2017</v>
      </c>
      <c r="F6" s="26">
        <f t="shared" si="1"/>
        <v>42957</v>
      </c>
    </row>
    <row r="7">
      <c r="A7" s="11" t="s">
        <v>2588</v>
      </c>
      <c r="B7" s="25" t="s">
        <v>2589</v>
      </c>
      <c r="C7" s="11" t="s">
        <v>21</v>
      </c>
      <c r="D7" s="11" t="s">
        <v>22</v>
      </c>
      <c r="E7" s="23" t="str">
        <f>IFERROR(__xludf.DUMMYFUNCTION("REGEXEXTRACT(TO_TEXT(A7), ""(\d{2}/\d{2}/\d{4})"")"),"12/08/2017")</f>
        <v>12/08/2017</v>
      </c>
      <c r="F7" s="26">
        <f t="shared" si="1"/>
        <v>42959</v>
      </c>
    </row>
    <row r="8">
      <c r="A8" s="10" t="s">
        <v>2590</v>
      </c>
      <c r="B8" s="25" t="s">
        <v>2591</v>
      </c>
      <c r="C8" s="10" t="s">
        <v>23</v>
      </c>
      <c r="D8" s="10" t="s">
        <v>24</v>
      </c>
      <c r="E8" s="23" t="str">
        <f>IFERROR(__xludf.DUMMYFUNCTION("REGEXEXTRACT(TO_TEXT(A8), ""(\d{2}/\d{2}/\d{4})"")"),"15/08/2017")</f>
        <v>15/08/2017</v>
      </c>
      <c r="F8" s="26">
        <f t="shared" si="1"/>
        <v>42962</v>
      </c>
    </row>
    <row r="9">
      <c r="A9" s="11" t="s">
        <v>2592</v>
      </c>
      <c r="B9" s="25" t="s">
        <v>2593</v>
      </c>
      <c r="C9" s="11" t="s">
        <v>25</v>
      </c>
      <c r="D9" s="11" t="s">
        <v>26</v>
      </c>
      <c r="E9" s="23" t="str">
        <f>IFERROR(__xludf.DUMMYFUNCTION("REGEXEXTRACT(TO_TEXT(A9), ""(\d{2}/\d{2}/\d{4})"")"),"17/08/2017")</f>
        <v>17/08/2017</v>
      </c>
      <c r="F9" s="26">
        <f t="shared" si="1"/>
        <v>42964</v>
      </c>
    </row>
    <row r="10">
      <c r="A10" s="10" t="s">
        <v>2594</v>
      </c>
      <c r="B10" s="25" t="s">
        <v>2595</v>
      </c>
      <c r="C10" s="10" t="s">
        <v>27</v>
      </c>
      <c r="D10" s="10" t="s">
        <v>28</v>
      </c>
      <c r="E10" s="23" t="str">
        <f>IFERROR(__xludf.DUMMYFUNCTION("REGEXEXTRACT(TO_TEXT(A10), ""(\d{2}/\d{2}/\d{4})"")"),"19/08/2017")</f>
        <v>19/08/2017</v>
      </c>
      <c r="F10" s="26">
        <f t="shared" si="1"/>
        <v>42966</v>
      </c>
    </row>
    <row r="11">
      <c r="A11" s="11" t="s">
        <v>2596</v>
      </c>
      <c r="B11" s="25" t="s">
        <v>2597</v>
      </c>
      <c r="C11" s="11" t="s">
        <v>29</v>
      </c>
      <c r="D11" s="11" t="s">
        <v>30</v>
      </c>
      <c r="E11" s="23" t="str">
        <f>IFERROR(__xludf.DUMMYFUNCTION("REGEXEXTRACT(TO_TEXT(A11), ""(\d{2}/\d{2}/\d{4})"")"),"22/08/2017")</f>
        <v>22/08/2017</v>
      </c>
      <c r="F11" s="26">
        <f t="shared" si="1"/>
        <v>42969</v>
      </c>
    </row>
    <row r="12">
      <c r="A12" s="10" t="s">
        <v>2598</v>
      </c>
      <c r="B12" s="25" t="s">
        <v>2599</v>
      </c>
      <c r="C12" s="10" t="s">
        <v>31</v>
      </c>
      <c r="D12" s="10" t="s">
        <v>32</v>
      </c>
      <c r="E12" s="23" t="str">
        <f>IFERROR(__xludf.DUMMYFUNCTION("REGEXEXTRACT(TO_TEXT(A12), ""(\d{2}/\d{2}/\d{4})"")"),"24/08/2017")</f>
        <v>24/08/2017</v>
      </c>
      <c r="F12" s="26">
        <f t="shared" si="1"/>
        <v>42971</v>
      </c>
    </row>
    <row r="13">
      <c r="A13" s="11" t="s">
        <v>2600</v>
      </c>
      <c r="B13" s="25" t="s">
        <v>2601</v>
      </c>
      <c r="C13" s="11" t="s">
        <v>33</v>
      </c>
      <c r="D13" s="11" t="s">
        <v>34</v>
      </c>
      <c r="E13" s="23" t="str">
        <f>IFERROR(__xludf.DUMMYFUNCTION("REGEXEXTRACT(TO_TEXT(A13), ""(\d{2}/\d{2}/\d{4})"")"),"26/08/2017")</f>
        <v>26/08/2017</v>
      </c>
      <c r="F13" s="26">
        <f t="shared" si="1"/>
        <v>42973</v>
      </c>
    </row>
    <row r="14">
      <c r="A14" s="10" t="s">
        <v>2602</v>
      </c>
      <c r="B14" s="25" t="s">
        <v>2603</v>
      </c>
      <c r="C14" s="10" t="s">
        <v>35</v>
      </c>
      <c r="D14" s="10" t="s">
        <v>36</v>
      </c>
      <c r="E14" s="23" t="str">
        <f>IFERROR(__xludf.DUMMYFUNCTION("REGEXEXTRACT(TO_TEXT(A14), ""(\d{2}/\d{2}/\d{4})"")"),"29/08/2017")</f>
        <v>29/08/2017</v>
      </c>
      <c r="F14" s="26">
        <f t="shared" si="1"/>
        <v>42976</v>
      </c>
    </row>
    <row r="15">
      <c r="A15" s="11" t="s">
        <v>2604</v>
      </c>
      <c r="B15" s="25" t="s">
        <v>2605</v>
      </c>
      <c r="C15" s="11" t="s">
        <v>37</v>
      </c>
      <c r="D15" s="11" t="s">
        <v>38</v>
      </c>
      <c r="E15" s="23" t="str">
        <f>IFERROR(__xludf.DUMMYFUNCTION("REGEXEXTRACT(TO_TEXT(A15), ""(\d{2}/\d{2}/\d{4})"")"),"31/08/2017")</f>
        <v>31/08/2017</v>
      </c>
      <c r="F15" s="26">
        <f t="shared" si="1"/>
        <v>42978</v>
      </c>
    </row>
    <row r="16">
      <c r="A16" s="10" t="s">
        <v>2606</v>
      </c>
      <c r="B16" s="25" t="s">
        <v>2607</v>
      </c>
      <c r="C16" s="10" t="s">
        <v>39</v>
      </c>
      <c r="D16" s="10" t="s">
        <v>40</v>
      </c>
      <c r="E16" s="23" t="str">
        <f>IFERROR(__xludf.DUMMYFUNCTION("REGEXEXTRACT(TO_TEXT(A16), ""(\d{2}/\d{2}/\d{4})"")"),"02/09/2017")</f>
        <v>02/09/2017</v>
      </c>
      <c r="F16" s="26">
        <f t="shared" si="1"/>
        <v>42980</v>
      </c>
    </row>
    <row r="17">
      <c r="A17" s="11" t="s">
        <v>2608</v>
      </c>
      <c r="B17" s="25" t="s">
        <v>2609</v>
      </c>
      <c r="C17" s="11" t="s">
        <v>41</v>
      </c>
      <c r="D17" s="11" t="s">
        <v>42</v>
      </c>
      <c r="E17" s="23" t="str">
        <f>IFERROR(__xludf.DUMMYFUNCTION("REGEXEXTRACT(TO_TEXT(A17), ""(\d{2}/\d{2}/\d{4})"")"),"05/09/2017")</f>
        <v>05/09/2017</v>
      </c>
      <c r="F17" s="26">
        <f t="shared" si="1"/>
        <v>42983</v>
      </c>
    </row>
    <row r="18">
      <c r="A18" s="10" t="s">
        <v>2610</v>
      </c>
      <c r="B18" s="25" t="s">
        <v>2611</v>
      </c>
      <c r="C18" s="10" t="s">
        <v>43</v>
      </c>
      <c r="D18" s="10" t="s">
        <v>44</v>
      </c>
      <c r="E18" s="23" t="str">
        <f>IFERROR(__xludf.DUMMYFUNCTION("REGEXEXTRACT(TO_TEXT(A18), ""(\d{2}/\d{2}/\d{4})"")"),"07/09/2017")</f>
        <v>07/09/2017</v>
      </c>
      <c r="F18" s="26">
        <f t="shared" si="1"/>
        <v>42985</v>
      </c>
    </row>
    <row r="19">
      <c r="A19" s="11" t="s">
        <v>2612</v>
      </c>
      <c r="B19" s="25" t="s">
        <v>2613</v>
      </c>
      <c r="C19" s="11" t="s">
        <v>45</v>
      </c>
      <c r="D19" s="11" t="s">
        <v>46</v>
      </c>
      <c r="E19" s="23" t="str">
        <f>IFERROR(__xludf.DUMMYFUNCTION("REGEXEXTRACT(TO_TEXT(A19), ""(\d{2}/\d{2}/\d{4})"")"),"09/09/2017")</f>
        <v>09/09/2017</v>
      </c>
      <c r="F19" s="26">
        <f t="shared" si="1"/>
        <v>42987</v>
      </c>
    </row>
    <row r="20">
      <c r="A20" s="10" t="s">
        <v>2614</v>
      </c>
      <c r="B20" s="25" t="s">
        <v>2615</v>
      </c>
      <c r="C20" s="10" t="s">
        <v>47</v>
      </c>
      <c r="D20" s="10" t="s">
        <v>48</v>
      </c>
      <c r="E20" s="23" t="str">
        <f>IFERROR(__xludf.DUMMYFUNCTION("REGEXEXTRACT(TO_TEXT(A20), ""(\d{2}/\d{2}/\d{4})"")"),"12/09/2017")</f>
        <v>12/09/2017</v>
      </c>
      <c r="F20" s="26">
        <f t="shared" si="1"/>
        <v>42990</v>
      </c>
    </row>
    <row r="21">
      <c r="A21" s="11" t="s">
        <v>2616</v>
      </c>
      <c r="B21" s="25" t="s">
        <v>2617</v>
      </c>
      <c r="C21" s="11" t="s">
        <v>49</v>
      </c>
      <c r="D21" s="11" t="s">
        <v>50</v>
      </c>
      <c r="E21" s="23" t="str">
        <f>IFERROR(__xludf.DUMMYFUNCTION("REGEXEXTRACT(TO_TEXT(A21), ""(\d{2}/\d{2}/\d{4})"")"),"14/09/2017")</f>
        <v>14/09/2017</v>
      </c>
      <c r="F21" s="26">
        <f t="shared" si="1"/>
        <v>42992</v>
      </c>
    </row>
    <row r="22">
      <c r="A22" s="10" t="s">
        <v>2618</v>
      </c>
      <c r="B22" s="25" t="s">
        <v>2619</v>
      </c>
      <c r="C22" s="10" t="s">
        <v>51</v>
      </c>
      <c r="D22" s="10" t="s">
        <v>52</v>
      </c>
      <c r="E22" s="23" t="str">
        <f>IFERROR(__xludf.DUMMYFUNCTION("REGEXEXTRACT(TO_TEXT(A22), ""(\d{2}/\d{2}/\d{4})"")"),"16/09/2017")</f>
        <v>16/09/2017</v>
      </c>
      <c r="F22" s="26">
        <f t="shared" si="1"/>
        <v>42994</v>
      </c>
    </row>
    <row r="23">
      <c r="A23" s="11" t="s">
        <v>2620</v>
      </c>
      <c r="B23" s="25" t="s">
        <v>2621</v>
      </c>
      <c r="C23" s="11" t="s">
        <v>53</v>
      </c>
      <c r="D23" s="11" t="s">
        <v>54</v>
      </c>
      <c r="E23" s="23" t="str">
        <f>IFERROR(__xludf.DUMMYFUNCTION("REGEXEXTRACT(TO_TEXT(A23), ""(\d{2}/\d{2}/\d{4})"")"),"19/09/2017")</f>
        <v>19/09/2017</v>
      </c>
      <c r="F23" s="26">
        <f t="shared" si="1"/>
        <v>42997</v>
      </c>
    </row>
    <row r="24">
      <c r="A24" s="10" t="s">
        <v>2622</v>
      </c>
      <c r="B24" s="25" t="s">
        <v>2623</v>
      </c>
      <c r="C24" s="10" t="s">
        <v>55</v>
      </c>
      <c r="D24" s="12" t="s">
        <v>56</v>
      </c>
      <c r="E24" s="23" t="str">
        <f>IFERROR(__xludf.DUMMYFUNCTION("REGEXEXTRACT(TO_TEXT(A24), ""(\d{2}/\d{2}/\d{4})"")"),"21/09/2017")</f>
        <v>21/09/2017</v>
      </c>
      <c r="F24" s="26">
        <f t="shared" si="1"/>
        <v>42999</v>
      </c>
    </row>
    <row r="25">
      <c r="A25" s="11" t="s">
        <v>2624</v>
      </c>
      <c r="B25" s="25" t="s">
        <v>2625</v>
      </c>
      <c r="C25" s="11" t="s">
        <v>57</v>
      </c>
      <c r="D25" s="11" t="s">
        <v>58</v>
      </c>
      <c r="E25" s="23" t="str">
        <f>IFERROR(__xludf.DUMMYFUNCTION("REGEXEXTRACT(TO_TEXT(A25), ""(\d{2}/\d{2}/\d{4})"")"),"23/09/2017")</f>
        <v>23/09/2017</v>
      </c>
      <c r="F25" s="26">
        <f t="shared" si="1"/>
        <v>43001</v>
      </c>
    </row>
    <row r="26">
      <c r="A26" s="10" t="s">
        <v>2626</v>
      </c>
      <c r="B26" s="25" t="s">
        <v>2627</v>
      </c>
      <c r="C26" s="10" t="s">
        <v>59</v>
      </c>
      <c r="D26" s="10" t="s">
        <v>60</v>
      </c>
      <c r="E26" s="23" t="str">
        <f>IFERROR(__xludf.DUMMYFUNCTION("REGEXEXTRACT(TO_TEXT(A26), ""(\d{2}/\d{2}/\d{4})"")"),"26/09/2017")</f>
        <v>26/09/2017</v>
      </c>
      <c r="F26" s="26">
        <f t="shared" si="1"/>
        <v>43004</v>
      </c>
    </row>
    <row r="27">
      <c r="A27" s="11" t="s">
        <v>2628</v>
      </c>
      <c r="B27" s="25" t="s">
        <v>2629</v>
      </c>
      <c r="C27" s="11" t="s">
        <v>61</v>
      </c>
      <c r="D27" s="11" t="s">
        <v>62</v>
      </c>
      <c r="E27" s="23" t="str">
        <f>IFERROR(__xludf.DUMMYFUNCTION("REGEXEXTRACT(TO_TEXT(A27), ""(\d{2}/\d{2}/\d{4})"")"),"28/09/2017")</f>
        <v>28/09/2017</v>
      </c>
      <c r="F27" s="26">
        <f t="shared" si="1"/>
        <v>43006</v>
      </c>
    </row>
    <row r="28">
      <c r="A28" s="10" t="s">
        <v>2630</v>
      </c>
      <c r="B28" s="25" t="s">
        <v>2631</v>
      </c>
      <c r="C28" s="10" t="s">
        <v>63</v>
      </c>
      <c r="D28" s="10" t="s">
        <v>64</v>
      </c>
      <c r="E28" s="23" t="str">
        <f>IFERROR(__xludf.DUMMYFUNCTION("REGEXEXTRACT(TO_TEXT(A28), ""(\d{2}/\d{2}/\d{4})"")"),"30/09/2017")</f>
        <v>30/09/2017</v>
      </c>
      <c r="F28" s="26">
        <f t="shared" si="1"/>
        <v>43008</v>
      </c>
    </row>
    <row r="29">
      <c r="A29" s="11" t="s">
        <v>2632</v>
      </c>
      <c r="B29" s="25" t="s">
        <v>2633</v>
      </c>
      <c r="C29" s="11" t="s">
        <v>65</v>
      </c>
      <c r="D29" s="11" t="s">
        <v>66</v>
      </c>
      <c r="E29" s="23" t="str">
        <f>IFERROR(__xludf.DUMMYFUNCTION("REGEXEXTRACT(TO_TEXT(A29), ""(\d{2}/\d{2}/\d{4})"")"),"03/10/2017")</f>
        <v>03/10/2017</v>
      </c>
      <c r="F29" s="26">
        <f t="shared" si="1"/>
        <v>43011</v>
      </c>
    </row>
    <row r="30">
      <c r="A30" s="10" t="s">
        <v>2634</v>
      </c>
      <c r="B30" s="25" t="s">
        <v>2635</v>
      </c>
      <c r="C30" s="10" t="s">
        <v>67</v>
      </c>
      <c r="D30" s="10" t="s">
        <v>68</v>
      </c>
      <c r="E30" s="23" t="str">
        <f>IFERROR(__xludf.DUMMYFUNCTION("REGEXEXTRACT(TO_TEXT(A30), ""(\d{2}/\d{2}/\d{4})"")"),"05/10/2017")</f>
        <v>05/10/2017</v>
      </c>
      <c r="F30" s="26">
        <f t="shared" si="1"/>
        <v>43013</v>
      </c>
    </row>
    <row r="31">
      <c r="A31" s="11" t="s">
        <v>2636</v>
      </c>
      <c r="B31" s="25" t="s">
        <v>2637</v>
      </c>
      <c r="C31" s="11" t="s">
        <v>69</v>
      </c>
      <c r="D31" s="11" t="s">
        <v>70</v>
      </c>
      <c r="E31" s="23" t="str">
        <f>IFERROR(__xludf.DUMMYFUNCTION("REGEXEXTRACT(TO_TEXT(A31), ""(\d{2}/\d{2}/\d{4})"")"),"07/10/2017")</f>
        <v>07/10/2017</v>
      </c>
      <c r="F31" s="26">
        <f t="shared" si="1"/>
        <v>43015</v>
      </c>
    </row>
    <row r="32">
      <c r="A32" s="10" t="s">
        <v>2638</v>
      </c>
      <c r="B32" s="25" t="s">
        <v>2639</v>
      </c>
      <c r="C32" s="10" t="s">
        <v>71</v>
      </c>
      <c r="D32" s="10" t="s">
        <v>72</v>
      </c>
      <c r="E32" s="23" t="str">
        <f>IFERROR(__xludf.DUMMYFUNCTION("REGEXEXTRACT(TO_TEXT(A32), ""(\d{2}/\d{2}/\d{4})"")"),"10/10/2017")</f>
        <v>10/10/2017</v>
      </c>
      <c r="F32" s="26">
        <f t="shared" si="1"/>
        <v>43018</v>
      </c>
    </row>
    <row r="33">
      <c r="A33" s="11" t="s">
        <v>2640</v>
      </c>
      <c r="B33" s="25" t="s">
        <v>2641</v>
      </c>
      <c r="C33" s="11" t="s">
        <v>73</v>
      </c>
      <c r="D33" s="11" t="s">
        <v>74</v>
      </c>
      <c r="E33" s="23" t="str">
        <f>IFERROR(__xludf.DUMMYFUNCTION("REGEXEXTRACT(TO_TEXT(A33), ""(\d{2}/\d{2}/\d{4})"")"),"12/10/2017")</f>
        <v>12/10/2017</v>
      </c>
      <c r="F33" s="26">
        <f t="shared" si="1"/>
        <v>43020</v>
      </c>
    </row>
    <row r="34">
      <c r="A34" s="10" t="s">
        <v>2642</v>
      </c>
      <c r="B34" s="25" t="s">
        <v>2643</v>
      </c>
      <c r="C34" s="10" t="s">
        <v>75</v>
      </c>
      <c r="D34" s="10" t="s">
        <v>76</v>
      </c>
      <c r="E34" s="23" t="str">
        <f>IFERROR(__xludf.DUMMYFUNCTION("REGEXEXTRACT(TO_TEXT(A34), ""(\d{2}/\d{2}/\d{4})"")"),"14/10/2017")</f>
        <v>14/10/2017</v>
      </c>
      <c r="F34" s="26">
        <f t="shared" si="1"/>
        <v>43022</v>
      </c>
    </row>
    <row r="35">
      <c r="A35" s="11" t="s">
        <v>2644</v>
      </c>
      <c r="B35" s="25" t="s">
        <v>2645</v>
      </c>
      <c r="C35" s="11" t="s">
        <v>77</v>
      </c>
      <c r="D35" s="11" t="s">
        <v>78</v>
      </c>
      <c r="E35" s="23" t="str">
        <f>IFERROR(__xludf.DUMMYFUNCTION("REGEXEXTRACT(TO_TEXT(A35), ""(\d{2}/\d{2}/\d{4})"")"),"17/10/2017")</f>
        <v>17/10/2017</v>
      </c>
      <c r="F35" s="26">
        <f t="shared" si="1"/>
        <v>43025</v>
      </c>
    </row>
    <row r="36">
      <c r="A36" s="10" t="s">
        <v>2646</v>
      </c>
      <c r="B36" s="25" t="s">
        <v>2647</v>
      </c>
      <c r="C36" s="10" t="s">
        <v>79</v>
      </c>
      <c r="D36" s="10" t="s">
        <v>80</v>
      </c>
      <c r="E36" s="23" t="str">
        <f>IFERROR(__xludf.DUMMYFUNCTION("REGEXEXTRACT(TO_TEXT(A36), ""(\d{2}/\d{2}/\d{4})"")"),"19/10/2017")</f>
        <v>19/10/2017</v>
      </c>
      <c r="F36" s="26">
        <f t="shared" si="1"/>
        <v>43027</v>
      </c>
    </row>
    <row r="37">
      <c r="A37" s="11" t="s">
        <v>2648</v>
      </c>
      <c r="B37" s="25" t="s">
        <v>2649</v>
      </c>
      <c r="C37" s="11" t="s">
        <v>81</v>
      </c>
      <c r="D37" s="13" t="s">
        <v>82</v>
      </c>
      <c r="E37" s="23" t="str">
        <f>IFERROR(__xludf.DUMMYFUNCTION("REGEXEXTRACT(TO_TEXT(A37), ""(\d{2}/\d{2}/\d{4})"")"),"21/10/2017")</f>
        <v>21/10/2017</v>
      </c>
      <c r="F37" s="26">
        <f t="shared" si="1"/>
        <v>43029</v>
      </c>
    </row>
    <row r="38">
      <c r="A38" s="10" t="s">
        <v>2650</v>
      </c>
      <c r="B38" s="25" t="s">
        <v>2651</v>
      </c>
      <c r="C38" s="10" t="s">
        <v>83</v>
      </c>
      <c r="D38" s="12" t="s">
        <v>84</v>
      </c>
      <c r="E38" s="23" t="str">
        <f>IFERROR(__xludf.DUMMYFUNCTION("REGEXEXTRACT(TO_TEXT(A38), ""(\d{2}/\d{2}/\d{4})"")"),"24/10/2017")</f>
        <v>24/10/2017</v>
      </c>
      <c r="F38" s="26">
        <f t="shared" si="1"/>
        <v>43032</v>
      </c>
    </row>
    <row r="39">
      <c r="A39" s="11" t="s">
        <v>2652</v>
      </c>
      <c r="B39" s="25" t="s">
        <v>2653</v>
      </c>
      <c r="C39" s="11" t="s">
        <v>85</v>
      </c>
      <c r="D39" s="11" t="s">
        <v>86</v>
      </c>
      <c r="E39" s="23" t="str">
        <f>IFERROR(__xludf.DUMMYFUNCTION("REGEXEXTRACT(TO_TEXT(A39), ""(\d{2}/\d{2}/\d{4})"")"),"26/10/2017")</f>
        <v>26/10/2017</v>
      </c>
      <c r="F39" s="26">
        <f t="shared" si="1"/>
        <v>43034</v>
      </c>
    </row>
    <row r="40">
      <c r="A40" s="10" t="s">
        <v>2654</v>
      </c>
      <c r="B40" s="25" t="s">
        <v>2655</v>
      </c>
      <c r="C40" s="10" t="s">
        <v>87</v>
      </c>
      <c r="D40" s="10" t="s">
        <v>88</v>
      </c>
      <c r="E40" s="23" t="str">
        <f>IFERROR(__xludf.DUMMYFUNCTION("REGEXEXTRACT(TO_TEXT(A40), ""(\d{2}/\d{2}/\d{4})"")"),"28/10/2017")</f>
        <v>28/10/2017</v>
      </c>
      <c r="F40" s="26">
        <f t="shared" si="1"/>
        <v>43036</v>
      </c>
    </row>
    <row r="41">
      <c r="A41" s="11" t="s">
        <v>2656</v>
      </c>
      <c r="B41" s="25" t="s">
        <v>2657</v>
      </c>
      <c r="C41" s="11" t="s">
        <v>89</v>
      </c>
      <c r="D41" s="11" t="s">
        <v>90</v>
      </c>
      <c r="E41" s="23" t="str">
        <f>IFERROR(__xludf.DUMMYFUNCTION("REGEXEXTRACT(TO_TEXT(A41), ""(\d{2}/\d{2}/\d{4})"")"),"31/10/2017")</f>
        <v>31/10/2017</v>
      </c>
      <c r="F41" s="26">
        <f t="shared" si="1"/>
        <v>43039</v>
      </c>
    </row>
    <row r="42">
      <c r="A42" s="10" t="s">
        <v>2658</v>
      </c>
      <c r="B42" s="25" t="s">
        <v>2659</v>
      </c>
      <c r="C42" s="10" t="s">
        <v>91</v>
      </c>
      <c r="D42" s="10" t="s">
        <v>92</v>
      </c>
      <c r="E42" s="23" t="str">
        <f>IFERROR(__xludf.DUMMYFUNCTION("REGEXEXTRACT(TO_TEXT(A42), ""(\d{2}/\d{2}/\d{4})"")"),"02/11/2017")</f>
        <v>02/11/2017</v>
      </c>
      <c r="F42" s="26">
        <f t="shared" si="1"/>
        <v>43041</v>
      </c>
    </row>
    <row r="43">
      <c r="A43" s="11" t="s">
        <v>2660</v>
      </c>
      <c r="B43" s="25" t="s">
        <v>2661</v>
      </c>
      <c r="C43" s="11" t="s">
        <v>93</v>
      </c>
      <c r="D43" s="11" t="s">
        <v>94</v>
      </c>
      <c r="E43" s="23" t="str">
        <f>IFERROR(__xludf.DUMMYFUNCTION("REGEXEXTRACT(TO_TEXT(A43), ""(\d{2}/\d{2}/\d{4})"")"),"04/11/2017")</f>
        <v>04/11/2017</v>
      </c>
      <c r="F43" s="26">
        <f t="shared" si="1"/>
        <v>43043</v>
      </c>
    </row>
    <row r="44">
      <c r="A44" s="10" t="s">
        <v>2662</v>
      </c>
      <c r="B44" s="25" t="s">
        <v>2663</v>
      </c>
      <c r="C44" s="10" t="s">
        <v>95</v>
      </c>
      <c r="D44" s="10" t="s">
        <v>96</v>
      </c>
      <c r="E44" s="23" t="str">
        <f>IFERROR(__xludf.DUMMYFUNCTION("REGEXEXTRACT(TO_TEXT(A44), ""(\d{2}/\d{2}/\d{4})"")"),"07/11/2017")</f>
        <v>07/11/2017</v>
      </c>
      <c r="F44" s="26">
        <f t="shared" si="1"/>
        <v>43046</v>
      </c>
    </row>
    <row r="45">
      <c r="A45" s="11" t="s">
        <v>2664</v>
      </c>
      <c r="B45" s="25" t="s">
        <v>2665</v>
      </c>
      <c r="C45" s="11" t="s">
        <v>97</v>
      </c>
      <c r="D45" s="13" t="s">
        <v>98</v>
      </c>
      <c r="E45" s="23" t="str">
        <f>IFERROR(__xludf.DUMMYFUNCTION("REGEXEXTRACT(TO_TEXT(A45), ""(\d{2}/\d{2}/\d{4})"")"),"09/11/2017")</f>
        <v>09/11/2017</v>
      </c>
      <c r="F45" s="26">
        <f t="shared" si="1"/>
        <v>43048</v>
      </c>
    </row>
    <row r="46">
      <c r="A46" s="10" t="s">
        <v>2666</v>
      </c>
      <c r="B46" s="25" t="s">
        <v>2667</v>
      </c>
      <c r="C46" s="10" t="s">
        <v>99</v>
      </c>
      <c r="D46" s="10" t="s">
        <v>100</v>
      </c>
      <c r="E46" s="23" t="str">
        <f>IFERROR(__xludf.DUMMYFUNCTION("REGEXEXTRACT(TO_TEXT(A46), ""(\d{2}/\d{2}/\d{4})"")"),"11/11/2017")</f>
        <v>11/11/2017</v>
      </c>
      <c r="F46" s="26">
        <f t="shared" si="1"/>
        <v>43050</v>
      </c>
    </row>
    <row r="47">
      <c r="A47" s="11" t="s">
        <v>2668</v>
      </c>
      <c r="B47" s="25" t="s">
        <v>2669</v>
      </c>
      <c r="C47" s="11" t="s">
        <v>101</v>
      </c>
      <c r="D47" s="13" t="s">
        <v>102</v>
      </c>
      <c r="E47" s="23" t="str">
        <f>IFERROR(__xludf.DUMMYFUNCTION("REGEXEXTRACT(TO_TEXT(A47), ""(\d{2}/\d{2}/\d{4})"")"),"14/11/2017")</f>
        <v>14/11/2017</v>
      </c>
      <c r="F47" s="26">
        <f t="shared" si="1"/>
        <v>43053</v>
      </c>
    </row>
    <row r="48">
      <c r="A48" s="10" t="s">
        <v>2670</v>
      </c>
      <c r="B48" s="25" t="s">
        <v>2671</v>
      </c>
      <c r="C48" s="10" t="s">
        <v>103</v>
      </c>
      <c r="D48" s="10" t="s">
        <v>104</v>
      </c>
      <c r="E48" s="23" t="str">
        <f>IFERROR(__xludf.DUMMYFUNCTION("REGEXEXTRACT(TO_TEXT(A48), ""(\d{2}/\d{2}/\d{4})"")"),"16/11/2017")</f>
        <v>16/11/2017</v>
      </c>
      <c r="F48" s="26">
        <f t="shared" si="1"/>
        <v>43055</v>
      </c>
    </row>
    <row r="49">
      <c r="A49" s="11" t="s">
        <v>2672</v>
      </c>
      <c r="B49" s="25" t="s">
        <v>2673</v>
      </c>
      <c r="C49" s="11" t="s">
        <v>105</v>
      </c>
      <c r="D49" s="13" t="s">
        <v>106</v>
      </c>
      <c r="E49" s="23" t="str">
        <f>IFERROR(__xludf.DUMMYFUNCTION("REGEXEXTRACT(TO_TEXT(A49), ""(\d{2}/\d{2}/\d{4})"")"),"18/11/2017")</f>
        <v>18/11/2017</v>
      </c>
      <c r="F49" s="26">
        <f t="shared" si="1"/>
        <v>43057</v>
      </c>
    </row>
    <row r="50">
      <c r="A50" s="10" t="s">
        <v>2674</v>
      </c>
      <c r="B50" s="25" t="s">
        <v>2675</v>
      </c>
      <c r="C50" s="10" t="s">
        <v>107</v>
      </c>
      <c r="D50" s="10" t="s">
        <v>108</v>
      </c>
      <c r="E50" s="23" t="str">
        <f>IFERROR(__xludf.DUMMYFUNCTION("REGEXEXTRACT(TO_TEXT(A50), ""(\d{2}/\d{2}/\d{4})"")"),"21/11/2017")</f>
        <v>21/11/2017</v>
      </c>
      <c r="F50" s="26">
        <f t="shared" si="1"/>
        <v>43060</v>
      </c>
    </row>
    <row r="51">
      <c r="A51" s="11" t="s">
        <v>2676</v>
      </c>
      <c r="B51" s="25" t="s">
        <v>2677</v>
      </c>
      <c r="C51" s="11" t="s">
        <v>109</v>
      </c>
      <c r="D51" s="13" t="s">
        <v>110</v>
      </c>
      <c r="E51" s="23" t="str">
        <f>IFERROR(__xludf.DUMMYFUNCTION("REGEXEXTRACT(TO_TEXT(A51), ""(\d{2}/\d{2}/\d{4})"")"),"23/11/2017")</f>
        <v>23/11/2017</v>
      </c>
      <c r="F51" s="26">
        <f t="shared" si="1"/>
        <v>43062</v>
      </c>
    </row>
    <row r="52">
      <c r="A52" s="10" t="s">
        <v>2678</v>
      </c>
      <c r="B52" s="25" t="s">
        <v>2679</v>
      </c>
      <c r="C52" s="10" t="s">
        <v>111</v>
      </c>
      <c r="D52" s="10" t="s">
        <v>112</v>
      </c>
      <c r="E52" s="23" t="str">
        <f>IFERROR(__xludf.DUMMYFUNCTION("REGEXEXTRACT(TO_TEXT(A52), ""(\d{2}/\d{2}/\d{4})"")"),"25/11/2017")</f>
        <v>25/11/2017</v>
      </c>
      <c r="F52" s="26">
        <f t="shared" si="1"/>
        <v>43064</v>
      </c>
    </row>
    <row r="53">
      <c r="A53" s="11" t="s">
        <v>2680</v>
      </c>
      <c r="B53" s="25" t="s">
        <v>2681</v>
      </c>
      <c r="C53" s="11" t="s">
        <v>113</v>
      </c>
      <c r="D53" s="13" t="s">
        <v>114</v>
      </c>
      <c r="E53" s="23" t="str">
        <f>IFERROR(__xludf.DUMMYFUNCTION("REGEXEXTRACT(TO_TEXT(A53), ""(\d{2}/\d{2}/\d{4})"")"),"28/11/2017")</f>
        <v>28/11/2017</v>
      </c>
      <c r="F53" s="26">
        <f t="shared" si="1"/>
        <v>43067</v>
      </c>
    </row>
    <row r="54">
      <c r="A54" s="10" t="s">
        <v>2682</v>
      </c>
      <c r="B54" s="25" t="s">
        <v>2683</v>
      </c>
      <c r="C54" s="10" t="s">
        <v>115</v>
      </c>
      <c r="D54" s="10" t="s">
        <v>116</v>
      </c>
      <c r="E54" s="23" t="str">
        <f>IFERROR(__xludf.DUMMYFUNCTION("REGEXEXTRACT(TO_TEXT(A54), ""(\d{2}/\d{2}/\d{4})"")"),"30/11/2017")</f>
        <v>30/11/2017</v>
      </c>
      <c r="F54" s="26">
        <f t="shared" si="1"/>
        <v>43069</v>
      </c>
    </row>
    <row r="55">
      <c r="A55" s="11" t="s">
        <v>2684</v>
      </c>
      <c r="B55" s="25" t="s">
        <v>2685</v>
      </c>
      <c r="C55" s="11" t="s">
        <v>117</v>
      </c>
      <c r="D55" s="11" t="s">
        <v>118</v>
      </c>
      <c r="E55" s="23" t="str">
        <f>IFERROR(__xludf.DUMMYFUNCTION("REGEXEXTRACT(TO_TEXT(A55), ""(\d{2}/\d{2}/\d{4})"")"),"02/12/2017")</f>
        <v>02/12/2017</v>
      </c>
      <c r="F55" s="26">
        <f t="shared" si="1"/>
        <v>43071</v>
      </c>
    </row>
    <row r="56">
      <c r="A56" s="10" t="s">
        <v>2686</v>
      </c>
      <c r="B56" s="25" t="s">
        <v>2687</v>
      </c>
      <c r="C56" s="10" t="s">
        <v>119</v>
      </c>
      <c r="D56" s="10" t="s">
        <v>120</v>
      </c>
      <c r="E56" s="23" t="str">
        <f>IFERROR(__xludf.DUMMYFUNCTION("REGEXEXTRACT(TO_TEXT(A56), ""(\d{2}/\d{2}/\d{4})"")"),"05/12/2017")</f>
        <v>05/12/2017</v>
      </c>
      <c r="F56" s="26">
        <f t="shared" si="1"/>
        <v>43074</v>
      </c>
    </row>
    <row r="57">
      <c r="A57" s="11" t="s">
        <v>2688</v>
      </c>
      <c r="B57" s="25" t="s">
        <v>2689</v>
      </c>
      <c r="C57" s="11" t="s">
        <v>121</v>
      </c>
      <c r="D57" s="13" t="s">
        <v>122</v>
      </c>
      <c r="E57" s="23" t="str">
        <f>IFERROR(__xludf.DUMMYFUNCTION("REGEXEXTRACT(TO_TEXT(A57), ""(\d{2}/\d{2}/\d{4})"")"),"07/12/2017")</f>
        <v>07/12/2017</v>
      </c>
      <c r="F57" s="26">
        <f t="shared" si="1"/>
        <v>43076</v>
      </c>
    </row>
    <row r="58">
      <c r="A58" s="10" t="s">
        <v>2690</v>
      </c>
      <c r="B58" s="25" t="s">
        <v>2691</v>
      </c>
      <c r="C58" s="10" t="s">
        <v>123</v>
      </c>
      <c r="D58" s="12" t="s">
        <v>124</v>
      </c>
      <c r="E58" s="23" t="str">
        <f>IFERROR(__xludf.DUMMYFUNCTION("REGEXEXTRACT(TO_TEXT(A58), ""(\d{2}/\d{2}/\d{4})"")"),"09/12/2017")</f>
        <v>09/12/2017</v>
      </c>
      <c r="F58" s="26">
        <f t="shared" si="1"/>
        <v>43078</v>
      </c>
    </row>
    <row r="59">
      <c r="A59" s="11" t="s">
        <v>2692</v>
      </c>
      <c r="B59" s="25" t="s">
        <v>2693</v>
      </c>
      <c r="C59" s="11" t="s">
        <v>125</v>
      </c>
      <c r="D59" s="11" t="s">
        <v>126</v>
      </c>
      <c r="E59" s="23" t="str">
        <f>IFERROR(__xludf.DUMMYFUNCTION("REGEXEXTRACT(TO_TEXT(A59), ""(\d{2}/\d{2}/\d{4})"")"),"12/12/2017")</f>
        <v>12/12/2017</v>
      </c>
      <c r="F59" s="26">
        <f t="shared" si="1"/>
        <v>43081</v>
      </c>
    </row>
    <row r="60">
      <c r="A60" s="10" t="s">
        <v>2694</v>
      </c>
      <c r="B60" s="25" t="s">
        <v>2695</v>
      </c>
      <c r="C60" s="10" t="s">
        <v>127</v>
      </c>
      <c r="D60" s="10" t="s">
        <v>128</v>
      </c>
      <c r="E60" s="23" t="str">
        <f>IFERROR(__xludf.DUMMYFUNCTION("REGEXEXTRACT(TO_TEXT(A60), ""(\d{2}/\d{2}/\d{4})"")"),"14/12/2017")</f>
        <v>14/12/2017</v>
      </c>
      <c r="F60" s="26">
        <f t="shared" si="1"/>
        <v>43083</v>
      </c>
    </row>
    <row r="61">
      <c r="A61" s="11" t="s">
        <v>2696</v>
      </c>
      <c r="B61" s="25" t="s">
        <v>2697</v>
      </c>
      <c r="C61" s="11" t="s">
        <v>129</v>
      </c>
      <c r="D61" s="11" t="s">
        <v>130</v>
      </c>
      <c r="E61" s="23" t="str">
        <f>IFERROR(__xludf.DUMMYFUNCTION("REGEXEXTRACT(TO_TEXT(A61), ""(\d{2}/\d{2}/\d{4})"")"),"16/12/2017")</f>
        <v>16/12/2017</v>
      </c>
      <c r="F61" s="26">
        <f t="shared" si="1"/>
        <v>43085</v>
      </c>
    </row>
    <row r="62">
      <c r="A62" s="10" t="s">
        <v>2698</v>
      </c>
      <c r="B62" s="25" t="s">
        <v>2699</v>
      </c>
      <c r="C62" s="10" t="s">
        <v>131</v>
      </c>
      <c r="D62" s="10" t="s">
        <v>132</v>
      </c>
      <c r="E62" s="23" t="str">
        <f>IFERROR(__xludf.DUMMYFUNCTION("REGEXEXTRACT(TO_TEXT(A62), ""(\d{2}/\d{2}/\d{4})"")"),"19/12/2017")</f>
        <v>19/12/2017</v>
      </c>
      <c r="F62" s="26">
        <f t="shared" si="1"/>
        <v>43088</v>
      </c>
    </row>
    <row r="63">
      <c r="A63" s="11" t="s">
        <v>2700</v>
      </c>
      <c r="B63" s="25" t="s">
        <v>2701</v>
      </c>
      <c r="C63" s="11" t="s">
        <v>133</v>
      </c>
      <c r="D63" s="11" t="s">
        <v>134</v>
      </c>
      <c r="E63" s="23" t="str">
        <f>IFERROR(__xludf.DUMMYFUNCTION("REGEXEXTRACT(TO_TEXT(A63), ""(\d{2}/\d{2}/\d{4})"")"),"21/12/2017")</f>
        <v>21/12/2017</v>
      </c>
      <c r="F63" s="26">
        <f t="shared" si="1"/>
        <v>43090</v>
      </c>
    </row>
    <row r="64">
      <c r="A64" s="10" t="s">
        <v>2702</v>
      </c>
      <c r="B64" s="25" t="s">
        <v>2703</v>
      </c>
      <c r="C64" s="10" t="s">
        <v>135</v>
      </c>
      <c r="D64" s="10" t="s">
        <v>136</v>
      </c>
      <c r="E64" s="23" t="str">
        <f>IFERROR(__xludf.DUMMYFUNCTION("REGEXEXTRACT(TO_TEXT(A64), ""(\d{2}/\d{2}/\d{4})"")"),"23/12/2017")</f>
        <v>23/12/2017</v>
      </c>
      <c r="F64" s="26">
        <f t="shared" si="1"/>
        <v>43092</v>
      </c>
    </row>
    <row r="65">
      <c r="A65" s="11" t="s">
        <v>2704</v>
      </c>
      <c r="B65" s="25" t="s">
        <v>2705</v>
      </c>
      <c r="C65" s="11" t="s">
        <v>137</v>
      </c>
      <c r="D65" s="11" t="s">
        <v>138</v>
      </c>
      <c r="E65" s="23" t="str">
        <f>IFERROR(__xludf.DUMMYFUNCTION("REGEXEXTRACT(TO_TEXT(A65), ""(\d{2}/\d{2}/\d{4})"")"),"26/12/2017")</f>
        <v>26/12/2017</v>
      </c>
      <c r="F65" s="26">
        <f t="shared" si="1"/>
        <v>43095</v>
      </c>
    </row>
    <row r="66">
      <c r="A66" s="10" t="s">
        <v>2706</v>
      </c>
      <c r="B66" s="25" t="s">
        <v>2707</v>
      </c>
      <c r="C66" s="10" t="s">
        <v>139</v>
      </c>
      <c r="D66" s="10" t="s">
        <v>140</v>
      </c>
      <c r="E66" s="23" t="str">
        <f>IFERROR(__xludf.DUMMYFUNCTION("REGEXEXTRACT(TO_TEXT(A66), ""(\d{2}/\d{2}/\d{4})"")"),"28/12/2017")</f>
        <v>28/12/2017</v>
      </c>
      <c r="F66" s="26">
        <f t="shared" si="1"/>
        <v>43097</v>
      </c>
    </row>
    <row r="67">
      <c r="A67" s="11" t="s">
        <v>2708</v>
      </c>
      <c r="B67" s="25" t="s">
        <v>2709</v>
      </c>
      <c r="C67" s="11" t="s">
        <v>141</v>
      </c>
      <c r="D67" s="13" t="s">
        <v>142</v>
      </c>
      <c r="E67" s="23" t="str">
        <f>IFERROR(__xludf.DUMMYFUNCTION("REGEXEXTRACT(TO_TEXT(A67), ""(\d{2}/\d{2}/\d{4})"")"),"30/12/2017")</f>
        <v>30/12/2017</v>
      </c>
      <c r="F67" s="26">
        <f t="shared" si="1"/>
        <v>43099</v>
      </c>
    </row>
    <row r="68">
      <c r="A68" s="10" t="s">
        <v>2710</v>
      </c>
      <c r="B68" s="25" t="s">
        <v>2711</v>
      </c>
      <c r="C68" s="10" t="s">
        <v>143</v>
      </c>
      <c r="D68" s="10" t="s">
        <v>144</v>
      </c>
      <c r="E68" s="23" t="str">
        <f>IFERROR(__xludf.DUMMYFUNCTION("REGEXEXTRACT(TO_TEXT(A68), ""(\d{2}/\d{2}/\d{4})"")"),"02/01/2018")</f>
        <v>02/01/2018</v>
      </c>
      <c r="F68" s="26">
        <f t="shared" si="1"/>
        <v>43102</v>
      </c>
    </row>
    <row r="69">
      <c r="A69" s="11" t="s">
        <v>2712</v>
      </c>
      <c r="B69" s="25" t="s">
        <v>2713</v>
      </c>
      <c r="C69" s="11" t="s">
        <v>145</v>
      </c>
      <c r="D69" s="13" t="s">
        <v>146</v>
      </c>
      <c r="E69" s="23" t="str">
        <f>IFERROR(__xludf.DUMMYFUNCTION("REGEXEXTRACT(TO_TEXT(A69), ""(\d{2}/\d{2}/\d{4})"")"),"04/01/2018")</f>
        <v>04/01/2018</v>
      </c>
      <c r="F69" s="26">
        <f t="shared" si="1"/>
        <v>43104</v>
      </c>
    </row>
    <row r="70">
      <c r="A70" s="10" t="s">
        <v>2714</v>
      </c>
      <c r="B70" s="25" t="s">
        <v>2715</v>
      </c>
      <c r="C70" s="10" t="s">
        <v>147</v>
      </c>
      <c r="D70" s="10" t="s">
        <v>148</v>
      </c>
      <c r="E70" s="23" t="str">
        <f>IFERROR(__xludf.DUMMYFUNCTION("REGEXEXTRACT(TO_TEXT(A70), ""(\d{2}/\d{2}/\d{4})"")"),"06/01/2018")</f>
        <v>06/01/2018</v>
      </c>
      <c r="F70" s="26">
        <f t="shared" si="1"/>
        <v>43106</v>
      </c>
    </row>
    <row r="71">
      <c r="A71" s="11" t="s">
        <v>2716</v>
      </c>
      <c r="B71" s="25" t="s">
        <v>2717</v>
      </c>
      <c r="C71" s="11" t="s">
        <v>149</v>
      </c>
      <c r="D71" s="13" t="s">
        <v>150</v>
      </c>
      <c r="E71" s="23" t="str">
        <f>IFERROR(__xludf.DUMMYFUNCTION("REGEXEXTRACT(TO_TEXT(A71), ""(\d{2}/\d{2}/\d{4})"")"),"09/01/2018")</f>
        <v>09/01/2018</v>
      </c>
      <c r="F71" s="26">
        <f t="shared" si="1"/>
        <v>43109</v>
      </c>
    </row>
    <row r="72">
      <c r="A72" s="10" t="s">
        <v>2718</v>
      </c>
      <c r="B72" s="25" t="s">
        <v>2719</v>
      </c>
      <c r="C72" s="10" t="s">
        <v>151</v>
      </c>
      <c r="D72" s="12" t="s">
        <v>152</v>
      </c>
      <c r="E72" s="23" t="str">
        <f>IFERROR(__xludf.DUMMYFUNCTION("REGEXEXTRACT(TO_TEXT(A72), ""(\d{2}/\d{2}/\d{4})"")"),"11/01/2018")</f>
        <v>11/01/2018</v>
      </c>
      <c r="F72" s="26">
        <f t="shared" si="1"/>
        <v>43111</v>
      </c>
    </row>
    <row r="73">
      <c r="A73" s="11" t="s">
        <v>2720</v>
      </c>
      <c r="B73" s="25" t="s">
        <v>2721</v>
      </c>
      <c r="C73" s="11" t="s">
        <v>153</v>
      </c>
      <c r="D73" s="11" t="s">
        <v>154</v>
      </c>
      <c r="E73" s="23" t="str">
        <f>IFERROR(__xludf.DUMMYFUNCTION("REGEXEXTRACT(TO_TEXT(A73), ""(\d{2}/\d{2}/\d{4})"")"),"13/01/2018")</f>
        <v>13/01/2018</v>
      </c>
      <c r="F73" s="26">
        <f t="shared" si="1"/>
        <v>43113</v>
      </c>
    </row>
    <row r="74">
      <c r="A74" s="10" t="s">
        <v>2722</v>
      </c>
      <c r="B74" s="25" t="s">
        <v>2723</v>
      </c>
      <c r="C74" s="10" t="s">
        <v>155</v>
      </c>
      <c r="D74" s="10" t="s">
        <v>156</v>
      </c>
      <c r="E74" s="23" t="str">
        <f>IFERROR(__xludf.DUMMYFUNCTION("REGEXEXTRACT(TO_TEXT(A74), ""(\d{2}/\d{2}/\d{4})"")"),"16/01/2018")</f>
        <v>16/01/2018</v>
      </c>
      <c r="F74" s="26">
        <f t="shared" si="1"/>
        <v>43116</v>
      </c>
    </row>
    <row r="75">
      <c r="A75" s="11" t="s">
        <v>2724</v>
      </c>
      <c r="B75" s="25" t="s">
        <v>2725</v>
      </c>
      <c r="C75" s="11" t="s">
        <v>157</v>
      </c>
      <c r="D75" s="13" t="s">
        <v>158</v>
      </c>
      <c r="E75" s="23" t="str">
        <f>IFERROR(__xludf.DUMMYFUNCTION("REGEXEXTRACT(TO_TEXT(A75), ""(\d{2}/\d{2}/\d{4})"")"),"18/01/2018")</f>
        <v>18/01/2018</v>
      </c>
      <c r="F75" s="26">
        <f t="shared" si="1"/>
        <v>43118</v>
      </c>
    </row>
    <row r="76">
      <c r="A76" s="10" t="s">
        <v>2726</v>
      </c>
      <c r="B76" s="25" t="s">
        <v>2727</v>
      </c>
      <c r="C76" s="10" t="s">
        <v>159</v>
      </c>
      <c r="D76" s="10" t="s">
        <v>160</v>
      </c>
      <c r="E76" s="23" t="str">
        <f>IFERROR(__xludf.DUMMYFUNCTION("REGEXEXTRACT(TO_TEXT(A76), ""(\d{2}/\d{2}/\d{4})"")"),"20/01/2018")</f>
        <v>20/01/2018</v>
      </c>
      <c r="F76" s="26">
        <f t="shared" si="1"/>
        <v>43120</v>
      </c>
    </row>
    <row r="77">
      <c r="A77" s="11" t="s">
        <v>2728</v>
      </c>
      <c r="B77" s="25" t="s">
        <v>2729</v>
      </c>
      <c r="C77" s="11" t="s">
        <v>161</v>
      </c>
      <c r="D77" s="11" t="s">
        <v>162</v>
      </c>
      <c r="E77" s="23" t="str">
        <f>IFERROR(__xludf.DUMMYFUNCTION("REGEXEXTRACT(TO_TEXT(A77), ""(\d{2}/\d{2}/\d{4})"")"),"23/01/2018")</f>
        <v>23/01/2018</v>
      </c>
      <c r="F77" s="26">
        <f t="shared" si="1"/>
        <v>43123</v>
      </c>
    </row>
    <row r="78">
      <c r="A78" s="10" t="s">
        <v>2730</v>
      </c>
      <c r="B78" s="25" t="s">
        <v>2731</v>
      </c>
      <c r="C78" s="10" t="s">
        <v>163</v>
      </c>
      <c r="D78" s="10" t="s">
        <v>164</v>
      </c>
      <c r="E78" s="23" t="str">
        <f>IFERROR(__xludf.DUMMYFUNCTION("REGEXEXTRACT(TO_TEXT(A78), ""(\d{2}/\d{2}/\d{4})"")"),"25/01/2018")</f>
        <v>25/01/2018</v>
      </c>
      <c r="F78" s="26">
        <f t="shared" si="1"/>
        <v>43125</v>
      </c>
    </row>
    <row r="79">
      <c r="A79" s="11" t="s">
        <v>2732</v>
      </c>
      <c r="B79" s="25" t="s">
        <v>2733</v>
      </c>
      <c r="C79" s="11" t="s">
        <v>165</v>
      </c>
      <c r="D79" s="11" t="s">
        <v>166</v>
      </c>
      <c r="E79" s="23" t="str">
        <f>IFERROR(__xludf.DUMMYFUNCTION("REGEXEXTRACT(TO_TEXT(A79), ""(\d{2}/\d{2}/\d{4})"")"),"27/01/2018")</f>
        <v>27/01/2018</v>
      </c>
      <c r="F79" s="26">
        <f t="shared" si="1"/>
        <v>43127</v>
      </c>
    </row>
    <row r="80">
      <c r="A80" s="10" t="s">
        <v>2734</v>
      </c>
      <c r="B80" s="25" t="s">
        <v>2735</v>
      </c>
      <c r="C80" s="10" t="s">
        <v>167</v>
      </c>
      <c r="D80" s="12" t="s">
        <v>168</v>
      </c>
      <c r="E80" s="23" t="str">
        <f>IFERROR(__xludf.DUMMYFUNCTION("REGEXEXTRACT(TO_TEXT(A80), ""(\d{2}/\d{2}/\d{4})"")"),"30/01/2018")</f>
        <v>30/01/2018</v>
      </c>
      <c r="F80" s="26">
        <f t="shared" si="1"/>
        <v>43130</v>
      </c>
    </row>
    <row r="81">
      <c r="A81" s="11" t="s">
        <v>2736</v>
      </c>
      <c r="B81" s="25" t="s">
        <v>2737</v>
      </c>
      <c r="C81" s="11" t="s">
        <v>169</v>
      </c>
      <c r="D81" s="11" t="s">
        <v>170</v>
      </c>
      <c r="E81" s="23" t="str">
        <f>IFERROR(__xludf.DUMMYFUNCTION("REGEXEXTRACT(TO_TEXT(A81), ""(\d{2}/\d{2}/\d{4})"")"),"01/02/2018")</f>
        <v>01/02/2018</v>
      </c>
      <c r="F81" s="26">
        <f t="shared" si="1"/>
        <v>43132</v>
      </c>
    </row>
    <row r="82">
      <c r="A82" s="10" t="s">
        <v>2738</v>
      </c>
      <c r="B82" s="25" t="s">
        <v>2739</v>
      </c>
      <c r="C82" s="10" t="s">
        <v>167</v>
      </c>
      <c r="D82" s="12" t="s">
        <v>171</v>
      </c>
      <c r="E82" s="23" t="str">
        <f>IFERROR(__xludf.DUMMYFUNCTION("REGEXEXTRACT(TO_TEXT(A82), ""(\d{2}/\d{2}/\d{4})"")"),"03/02/2018")</f>
        <v>03/02/2018</v>
      </c>
      <c r="F82" s="26">
        <f t="shared" si="1"/>
        <v>43134</v>
      </c>
    </row>
    <row r="83">
      <c r="A83" s="11" t="s">
        <v>2740</v>
      </c>
      <c r="B83" s="25" t="s">
        <v>2741</v>
      </c>
      <c r="C83" s="11" t="s">
        <v>167</v>
      </c>
      <c r="D83" s="13" t="s">
        <v>172</v>
      </c>
      <c r="E83" s="23" t="str">
        <f>IFERROR(__xludf.DUMMYFUNCTION("REGEXEXTRACT(TO_TEXT(A83), ""(\d{2}/\d{2}/\d{4})"")"),"06/02/2018")</f>
        <v>06/02/2018</v>
      </c>
      <c r="F83" s="26">
        <f t="shared" si="1"/>
        <v>43137</v>
      </c>
    </row>
    <row r="84">
      <c r="A84" s="10" t="s">
        <v>2742</v>
      </c>
      <c r="B84" s="25" t="s">
        <v>2743</v>
      </c>
      <c r="C84" s="10" t="s">
        <v>173</v>
      </c>
      <c r="D84" s="10" t="s">
        <v>174</v>
      </c>
      <c r="E84" s="23" t="str">
        <f>IFERROR(__xludf.DUMMYFUNCTION("REGEXEXTRACT(TO_TEXT(A84), ""(\d{2}/\d{2}/\d{4})"")"),"08/02/2018")</f>
        <v>08/02/2018</v>
      </c>
      <c r="F84" s="26">
        <f t="shared" si="1"/>
        <v>43139</v>
      </c>
    </row>
    <row r="85">
      <c r="A85" s="11" t="s">
        <v>2744</v>
      </c>
      <c r="B85" s="25" t="s">
        <v>2745</v>
      </c>
      <c r="C85" s="11" t="s">
        <v>167</v>
      </c>
      <c r="D85" s="13" t="s">
        <v>175</v>
      </c>
      <c r="E85" s="23" t="str">
        <f>IFERROR(__xludf.DUMMYFUNCTION("REGEXEXTRACT(TO_TEXT(A85), ""(\d{2}/\d{2}/\d{4})"")"),"10/02/2018")</f>
        <v>10/02/2018</v>
      </c>
      <c r="F85" s="26">
        <f t="shared" si="1"/>
        <v>43141</v>
      </c>
    </row>
    <row r="86">
      <c r="A86" s="10" t="s">
        <v>2746</v>
      </c>
      <c r="B86" s="25" t="s">
        <v>2747</v>
      </c>
      <c r="C86" s="10" t="s">
        <v>176</v>
      </c>
      <c r="D86" s="10" t="s">
        <v>177</v>
      </c>
      <c r="E86" s="23" t="str">
        <f>IFERROR(__xludf.DUMMYFUNCTION("REGEXEXTRACT(TO_TEXT(A86), ""(\d{2}/\d{2}/\d{4})"")"),"13/02/2018")</f>
        <v>13/02/2018</v>
      </c>
      <c r="F86" s="26">
        <f t="shared" si="1"/>
        <v>43144</v>
      </c>
    </row>
    <row r="87">
      <c r="A87" s="11" t="s">
        <v>2748</v>
      </c>
      <c r="B87" s="25" t="s">
        <v>2749</v>
      </c>
      <c r="C87" s="11" t="s">
        <v>178</v>
      </c>
      <c r="D87" s="11" t="s">
        <v>179</v>
      </c>
      <c r="E87" s="23" t="str">
        <f>IFERROR(__xludf.DUMMYFUNCTION("REGEXEXTRACT(TO_TEXT(A87), ""(\d{2}/\d{2}/\d{4})"")"),"17/02/2018")</f>
        <v>17/02/2018</v>
      </c>
      <c r="F87" s="26">
        <f t="shared" si="1"/>
        <v>43148</v>
      </c>
    </row>
    <row r="88">
      <c r="A88" s="10" t="s">
        <v>2750</v>
      </c>
      <c r="B88" s="25" t="s">
        <v>2751</v>
      </c>
      <c r="C88" s="10" t="s">
        <v>180</v>
      </c>
      <c r="D88" s="10" t="s">
        <v>181</v>
      </c>
      <c r="E88" s="23" t="str">
        <f>IFERROR(__xludf.DUMMYFUNCTION("REGEXEXTRACT(TO_TEXT(A88), ""(\d{2}/\d{2}/\d{4})"")"),"20/02/2018")</f>
        <v>20/02/2018</v>
      </c>
      <c r="F88" s="26">
        <f t="shared" si="1"/>
        <v>43151</v>
      </c>
    </row>
    <row r="89">
      <c r="A89" s="11" t="s">
        <v>2752</v>
      </c>
      <c r="B89" s="25" t="s">
        <v>2753</v>
      </c>
      <c r="C89" s="11" t="s">
        <v>167</v>
      </c>
      <c r="D89" s="13" t="s">
        <v>182</v>
      </c>
      <c r="E89" s="23" t="str">
        <f>IFERROR(__xludf.DUMMYFUNCTION("REGEXEXTRACT(TO_TEXT(A89), ""(\d{2}/\d{2}/\d{4})"")"),"22/02/2018")</f>
        <v>22/02/2018</v>
      </c>
      <c r="F89" s="26">
        <f t="shared" si="1"/>
        <v>43153</v>
      </c>
    </row>
    <row r="90">
      <c r="A90" s="10" t="s">
        <v>2754</v>
      </c>
      <c r="B90" s="25" t="s">
        <v>2755</v>
      </c>
      <c r="C90" s="10" t="s">
        <v>183</v>
      </c>
      <c r="D90" s="10" t="s">
        <v>184</v>
      </c>
      <c r="E90" s="23" t="str">
        <f>IFERROR(__xludf.DUMMYFUNCTION("REGEXEXTRACT(TO_TEXT(A90), ""(\d{2}/\d{2}/\d{4})"")"),"24/02/2018")</f>
        <v>24/02/2018</v>
      </c>
      <c r="F90" s="26">
        <f t="shared" si="1"/>
        <v>43155</v>
      </c>
    </row>
    <row r="91">
      <c r="A91" s="11" t="s">
        <v>2756</v>
      </c>
      <c r="B91" s="25" t="s">
        <v>2757</v>
      </c>
      <c r="C91" s="11" t="s">
        <v>185</v>
      </c>
      <c r="D91" s="11" t="s">
        <v>186</v>
      </c>
      <c r="E91" s="23" t="str">
        <f>IFERROR(__xludf.DUMMYFUNCTION("REGEXEXTRACT(TO_TEXT(A91), ""(\d{2}/\d{2}/\d{4})"")"),"27/02/2018")</f>
        <v>27/02/2018</v>
      </c>
      <c r="F91" s="26">
        <f t="shared" si="1"/>
        <v>43158</v>
      </c>
    </row>
    <row r="92">
      <c r="A92" s="10" t="s">
        <v>2758</v>
      </c>
      <c r="B92" s="25" t="s">
        <v>2759</v>
      </c>
      <c r="C92" s="10" t="s">
        <v>187</v>
      </c>
      <c r="D92" s="10" t="s">
        <v>188</v>
      </c>
      <c r="E92" s="23" t="str">
        <f>IFERROR(__xludf.DUMMYFUNCTION("REGEXEXTRACT(TO_TEXT(A92), ""(\d{2}/\d{2}/\d{4})"")"),"01/03/2018")</f>
        <v>01/03/2018</v>
      </c>
      <c r="F92" s="26">
        <f t="shared" si="1"/>
        <v>43160</v>
      </c>
    </row>
    <row r="93">
      <c r="A93" s="11" t="s">
        <v>2760</v>
      </c>
      <c r="B93" s="25" t="s">
        <v>2761</v>
      </c>
      <c r="C93" s="11" t="s">
        <v>189</v>
      </c>
      <c r="D93" s="11" t="s">
        <v>190</v>
      </c>
      <c r="E93" s="23" t="str">
        <f>IFERROR(__xludf.DUMMYFUNCTION("REGEXEXTRACT(TO_TEXT(A93), ""(\d{2}/\d{2}/\d{4})"")"),"03/03/2018")</f>
        <v>03/03/2018</v>
      </c>
      <c r="F93" s="26">
        <f t="shared" si="1"/>
        <v>43162</v>
      </c>
    </row>
    <row r="94">
      <c r="A94" s="10" t="s">
        <v>2762</v>
      </c>
      <c r="B94" s="25" t="s">
        <v>2763</v>
      </c>
      <c r="C94" s="10" t="s">
        <v>191</v>
      </c>
      <c r="D94" s="10" t="s">
        <v>192</v>
      </c>
      <c r="E94" s="23" t="str">
        <f>IFERROR(__xludf.DUMMYFUNCTION("REGEXEXTRACT(TO_TEXT(A94), ""(\d{2}/\d{2}/\d{4})"")"),"06/03/2018")</f>
        <v>06/03/2018</v>
      </c>
      <c r="F94" s="26">
        <f t="shared" si="1"/>
        <v>43165</v>
      </c>
    </row>
    <row r="95">
      <c r="A95" s="11" t="s">
        <v>2764</v>
      </c>
      <c r="B95" s="25" t="s">
        <v>2765</v>
      </c>
      <c r="C95" s="11" t="s">
        <v>193</v>
      </c>
      <c r="D95" s="11" t="s">
        <v>194</v>
      </c>
      <c r="E95" s="23" t="str">
        <f>IFERROR(__xludf.DUMMYFUNCTION("REGEXEXTRACT(TO_TEXT(A95), ""(\d{2}/\d{2}/\d{4})"")"),"08/03/2018")</f>
        <v>08/03/2018</v>
      </c>
      <c r="F95" s="26">
        <f t="shared" si="1"/>
        <v>43167</v>
      </c>
    </row>
    <row r="96">
      <c r="A96" s="10" t="s">
        <v>2766</v>
      </c>
      <c r="B96" s="25" t="s">
        <v>2767</v>
      </c>
      <c r="C96" s="10" t="s">
        <v>167</v>
      </c>
      <c r="D96" s="12" t="s">
        <v>195</v>
      </c>
      <c r="E96" s="23" t="str">
        <f>IFERROR(__xludf.DUMMYFUNCTION("REGEXEXTRACT(TO_TEXT(A96), ""(\d{2}/\d{2}/\d{4})"")"),"10/03/2018")</f>
        <v>10/03/2018</v>
      </c>
      <c r="F96" s="26">
        <f t="shared" si="1"/>
        <v>43169</v>
      </c>
    </row>
    <row r="97">
      <c r="A97" s="11" t="s">
        <v>2768</v>
      </c>
      <c r="B97" s="25" t="s">
        <v>2769</v>
      </c>
      <c r="C97" s="11" t="s">
        <v>196</v>
      </c>
      <c r="D97" s="11" t="s">
        <v>197</v>
      </c>
      <c r="E97" s="23" t="str">
        <f>IFERROR(__xludf.DUMMYFUNCTION("REGEXEXTRACT(TO_TEXT(A97), ""(\d{2}/\d{2}/\d{4})"")"),"13/03/2018")</f>
        <v>13/03/2018</v>
      </c>
      <c r="F97" s="26">
        <f t="shared" si="1"/>
        <v>43172</v>
      </c>
    </row>
    <row r="98">
      <c r="A98" s="10" t="s">
        <v>2770</v>
      </c>
      <c r="B98" s="25" t="s">
        <v>2771</v>
      </c>
      <c r="C98" s="10" t="s">
        <v>198</v>
      </c>
      <c r="D98" s="10" t="s">
        <v>199</v>
      </c>
      <c r="E98" s="23" t="str">
        <f>IFERROR(__xludf.DUMMYFUNCTION("REGEXEXTRACT(TO_TEXT(A98), ""(\d{2}/\d{2}/\d{4})"")"),"15/03/2018")</f>
        <v>15/03/2018</v>
      </c>
      <c r="F98" s="26">
        <f t="shared" si="1"/>
        <v>43174</v>
      </c>
    </row>
    <row r="99">
      <c r="A99" s="11" t="s">
        <v>2772</v>
      </c>
      <c r="B99" s="25" t="s">
        <v>2773</v>
      </c>
      <c r="C99" s="11" t="s">
        <v>200</v>
      </c>
      <c r="D99" s="11" t="s">
        <v>201</v>
      </c>
      <c r="E99" s="23" t="str">
        <f>IFERROR(__xludf.DUMMYFUNCTION("REGEXEXTRACT(TO_TEXT(A99), ""(\d{2}/\d{2}/\d{4})"")"),"17/03/2018")</f>
        <v>17/03/2018</v>
      </c>
      <c r="F99" s="26">
        <f t="shared" si="1"/>
        <v>43176</v>
      </c>
    </row>
    <row r="100">
      <c r="A100" s="10" t="s">
        <v>2774</v>
      </c>
      <c r="B100" s="25" t="s">
        <v>2775</v>
      </c>
      <c r="C100" s="10" t="s">
        <v>167</v>
      </c>
      <c r="D100" s="12" t="s">
        <v>202</v>
      </c>
      <c r="E100" s="23" t="str">
        <f>IFERROR(__xludf.DUMMYFUNCTION("REGEXEXTRACT(TO_TEXT(A100), ""(\d{2}/\d{2}/\d{4})"")"),"20/03/2018")</f>
        <v>20/03/2018</v>
      </c>
      <c r="F100" s="26">
        <f t="shared" si="1"/>
        <v>43179</v>
      </c>
    </row>
    <row r="101">
      <c r="A101" s="11" t="s">
        <v>2776</v>
      </c>
      <c r="B101" s="25" t="s">
        <v>2777</v>
      </c>
      <c r="C101" s="11" t="s">
        <v>203</v>
      </c>
      <c r="D101" s="11" t="s">
        <v>204</v>
      </c>
      <c r="E101" s="23" t="str">
        <f>IFERROR(__xludf.DUMMYFUNCTION("REGEXEXTRACT(TO_TEXT(A101), ""(\d{2}/\d{2}/\d{4})"")"),"22/03/2018")</f>
        <v>22/03/2018</v>
      </c>
      <c r="F101" s="26">
        <f t="shared" si="1"/>
        <v>43181</v>
      </c>
    </row>
    <row r="102">
      <c r="A102" s="10" t="s">
        <v>2778</v>
      </c>
      <c r="B102" s="25" t="s">
        <v>2779</v>
      </c>
      <c r="C102" s="10" t="s">
        <v>205</v>
      </c>
      <c r="D102" s="10" t="s">
        <v>206</v>
      </c>
      <c r="E102" s="23" t="str">
        <f>IFERROR(__xludf.DUMMYFUNCTION("REGEXEXTRACT(TO_TEXT(A102), ""(\d{2}/\d{2}/\d{4})"")"),"24/03/2018")</f>
        <v>24/03/2018</v>
      </c>
      <c r="F102" s="26">
        <f t="shared" si="1"/>
        <v>43183</v>
      </c>
    </row>
    <row r="103">
      <c r="A103" s="11" t="s">
        <v>2780</v>
      </c>
      <c r="B103" s="25" t="s">
        <v>2781</v>
      </c>
      <c r="C103" s="11" t="s">
        <v>167</v>
      </c>
      <c r="D103" s="13" t="s">
        <v>207</v>
      </c>
      <c r="E103" s="23" t="str">
        <f>IFERROR(__xludf.DUMMYFUNCTION("REGEXEXTRACT(TO_TEXT(A103), ""(\d{2}/\d{2}/\d{4})"")"),"27/03/2018")</f>
        <v>27/03/2018</v>
      </c>
      <c r="F103" s="26">
        <f t="shared" si="1"/>
        <v>43186</v>
      </c>
    </row>
    <row r="104">
      <c r="A104" s="10" t="s">
        <v>2782</v>
      </c>
      <c r="B104" s="25" t="s">
        <v>2783</v>
      </c>
      <c r="C104" s="10" t="s">
        <v>167</v>
      </c>
      <c r="D104" s="12" t="s">
        <v>208</v>
      </c>
      <c r="E104" s="23" t="str">
        <f>IFERROR(__xludf.DUMMYFUNCTION("REGEXEXTRACT(TO_TEXT(A104), ""(\d{2}/\d{2}/\d{4})"")"),"29/03/2018")</f>
        <v>29/03/2018</v>
      </c>
      <c r="F104" s="26">
        <f t="shared" si="1"/>
        <v>43188</v>
      </c>
    </row>
    <row r="105">
      <c r="A105" s="11" t="s">
        <v>2784</v>
      </c>
      <c r="B105" s="25" t="s">
        <v>2785</v>
      </c>
      <c r="C105" s="11" t="s">
        <v>209</v>
      </c>
      <c r="D105" s="11" t="s">
        <v>210</v>
      </c>
      <c r="E105" s="23" t="str">
        <f>IFERROR(__xludf.DUMMYFUNCTION("REGEXEXTRACT(TO_TEXT(A105), ""(\d{2}/\d{2}/\d{4})"")"),"31/03/2018")</f>
        <v>31/03/2018</v>
      </c>
      <c r="F105" s="26">
        <f t="shared" si="1"/>
        <v>43190</v>
      </c>
    </row>
    <row r="106">
      <c r="A106" s="10" t="s">
        <v>2786</v>
      </c>
      <c r="B106" s="25" t="s">
        <v>2787</v>
      </c>
      <c r="C106" s="10" t="s">
        <v>211</v>
      </c>
      <c r="D106" s="10" t="s">
        <v>212</v>
      </c>
      <c r="E106" s="23" t="str">
        <f>IFERROR(__xludf.DUMMYFUNCTION("REGEXEXTRACT(TO_TEXT(A106), ""(\d{2}/\d{2}/\d{4})"")"),"03/04/2018")</f>
        <v>03/04/2018</v>
      </c>
      <c r="F106" s="26">
        <f t="shared" si="1"/>
        <v>43193</v>
      </c>
    </row>
    <row r="107">
      <c r="A107" s="11" t="s">
        <v>2788</v>
      </c>
      <c r="B107" s="25" t="s">
        <v>2789</v>
      </c>
      <c r="C107" s="11" t="s">
        <v>213</v>
      </c>
      <c r="D107" s="11" t="s">
        <v>214</v>
      </c>
      <c r="E107" s="23" t="str">
        <f>IFERROR(__xludf.DUMMYFUNCTION("REGEXEXTRACT(TO_TEXT(A107), ""(\d{2}/\d{2}/\d{4})"")"),"05/04/2018")</f>
        <v>05/04/2018</v>
      </c>
      <c r="F107" s="26">
        <f t="shared" si="1"/>
        <v>43195</v>
      </c>
    </row>
    <row r="108">
      <c r="A108" s="10" t="s">
        <v>2790</v>
      </c>
      <c r="B108" s="25" t="s">
        <v>2791</v>
      </c>
      <c r="C108" s="10" t="s">
        <v>215</v>
      </c>
      <c r="D108" s="10" t="s">
        <v>216</v>
      </c>
      <c r="E108" s="23" t="str">
        <f>IFERROR(__xludf.DUMMYFUNCTION("REGEXEXTRACT(TO_TEXT(A108), ""(\d{2}/\d{2}/\d{4})"")"),"07/04/2018")</f>
        <v>07/04/2018</v>
      </c>
      <c r="F108" s="26">
        <f t="shared" si="1"/>
        <v>43197</v>
      </c>
    </row>
    <row r="109">
      <c r="A109" s="11" t="s">
        <v>2792</v>
      </c>
      <c r="B109" s="25" t="s">
        <v>2793</v>
      </c>
      <c r="C109" s="11" t="s">
        <v>217</v>
      </c>
      <c r="D109" s="11" t="s">
        <v>218</v>
      </c>
      <c r="E109" s="23" t="str">
        <f>IFERROR(__xludf.DUMMYFUNCTION("REGEXEXTRACT(TO_TEXT(A109), ""(\d{2}/\d{2}/\d{4})"")"),"10/04/2018")</f>
        <v>10/04/2018</v>
      </c>
      <c r="F109" s="26">
        <f t="shared" si="1"/>
        <v>43200</v>
      </c>
    </row>
    <row r="110">
      <c r="A110" s="10" t="s">
        <v>2794</v>
      </c>
      <c r="B110" s="25" t="s">
        <v>2795</v>
      </c>
      <c r="C110" s="10" t="s">
        <v>219</v>
      </c>
      <c r="D110" s="10" t="s">
        <v>220</v>
      </c>
      <c r="E110" s="23" t="str">
        <f>IFERROR(__xludf.DUMMYFUNCTION("REGEXEXTRACT(TO_TEXT(A110), ""(\d{2}/\d{2}/\d{4})"")"),"12/04/2018")</f>
        <v>12/04/2018</v>
      </c>
      <c r="F110" s="26">
        <f t="shared" si="1"/>
        <v>43202</v>
      </c>
    </row>
    <row r="111">
      <c r="A111" s="11" t="s">
        <v>2796</v>
      </c>
      <c r="B111" s="25" t="s">
        <v>2797</v>
      </c>
      <c r="C111" s="11" t="s">
        <v>221</v>
      </c>
      <c r="D111" s="11" t="s">
        <v>222</v>
      </c>
      <c r="E111" s="23" t="str">
        <f>IFERROR(__xludf.DUMMYFUNCTION("REGEXEXTRACT(TO_TEXT(A111), ""(\d{2}/\d{2}/\d{4})"")"),"14/04/2018")</f>
        <v>14/04/2018</v>
      </c>
      <c r="F111" s="26">
        <f t="shared" si="1"/>
        <v>43204</v>
      </c>
    </row>
    <row r="112">
      <c r="A112" s="10" t="s">
        <v>2798</v>
      </c>
      <c r="B112" s="25" t="s">
        <v>2799</v>
      </c>
      <c r="C112" s="10" t="s">
        <v>167</v>
      </c>
      <c r="D112" s="12" t="s">
        <v>223</v>
      </c>
      <c r="E112" s="23" t="str">
        <f>IFERROR(__xludf.DUMMYFUNCTION("REGEXEXTRACT(TO_TEXT(A112), ""(\d{2}/\d{2}/\d{4})"")"),"17/04/2018")</f>
        <v>17/04/2018</v>
      </c>
      <c r="F112" s="26">
        <f t="shared" si="1"/>
        <v>43207</v>
      </c>
    </row>
    <row r="113">
      <c r="A113" s="11" t="s">
        <v>2800</v>
      </c>
      <c r="B113" s="25" t="s">
        <v>2801</v>
      </c>
      <c r="C113" s="11" t="s">
        <v>167</v>
      </c>
      <c r="D113" s="13" t="s">
        <v>224</v>
      </c>
      <c r="E113" s="23" t="str">
        <f>IFERROR(__xludf.DUMMYFUNCTION("REGEXEXTRACT(TO_TEXT(A113), ""(\d{2}/\d{2}/\d{4})"")"),"19/04/2018")</f>
        <v>19/04/2018</v>
      </c>
      <c r="F113" s="26">
        <f t="shared" si="1"/>
        <v>43209</v>
      </c>
    </row>
    <row r="114">
      <c r="A114" s="10" t="s">
        <v>2802</v>
      </c>
      <c r="B114" s="25" t="s">
        <v>2803</v>
      </c>
      <c r="C114" s="10" t="s">
        <v>167</v>
      </c>
      <c r="D114" s="12" t="s">
        <v>225</v>
      </c>
      <c r="E114" s="23" t="str">
        <f>IFERROR(__xludf.DUMMYFUNCTION("REGEXEXTRACT(TO_TEXT(A114), ""(\d{2}/\d{2}/\d{4})"")"),"21/04/2018")</f>
        <v>21/04/2018</v>
      </c>
      <c r="F114" s="26">
        <f t="shared" si="1"/>
        <v>43211</v>
      </c>
    </row>
    <row r="115">
      <c r="A115" s="11" t="s">
        <v>2804</v>
      </c>
      <c r="B115" s="25" t="s">
        <v>2805</v>
      </c>
      <c r="C115" s="11" t="s">
        <v>226</v>
      </c>
      <c r="D115" s="11" t="s">
        <v>227</v>
      </c>
      <c r="E115" s="23" t="str">
        <f>IFERROR(__xludf.DUMMYFUNCTION("REGEXEXTRACT(TO_TEXT(A115), ""(\d{2}/\d{2}/\d{4})"")"),"24/04/2018")</f>
        <v>24/04/2018</v>
      </c>
      <c r="F115" s="26">
        <f t="shared" si="1"/>
        <v>43214</v>
      </c>
    </row>
    <row r="116">
      <c r="A116" s="10" t="s">
        <v>2806</v>
      </c>
      <c r="B116" s="25" t="s">
        <v>2807</v>
      </c>
      <c r="C116" s="10" t="s">
        <v>228</v>
      </c>
      <c r="D116" s="10" t="s">
        <v>229</v>
      </c>
      <c r="E116" s="23" t="str">
        <f>IFERROR(__xludf.DUMMYFUNCTION("REGEXEXTRACT(TO_TEXT(A116), ""(\d{2}/\d{2}/\d{4})"")"),"26/04/2018")</f>
        <v>26/04/2018</v>
      </c>
      <c r="F116" s="26">
        <f t="shared" si="1"/>
        <v>43216</v>
      </c>
    </row>
    <row r="117">
      <c r="A117" s="11" t="s">
        <v>2808</v>
      </c>
      <c r="B117" s="25" t="s">
        <v>2809</v>
      </c>
      <c r="C117" s="11" t="s">
        <v>230</v>
      </c>
      <c r="D117" s="11" t="s">
        <v>231</v>
      </c>
      <c r="E117" s="23" t="str">
        <f>IFERROR(__xludf.DUMMYFUNCTION("REGEXEXTRACT(TO_TEXT(A117), ""(\d{2}/\d{2}/\d{4})"")"),"28/04/2018")</f>
        <v>28/04/2018</v>
      </c>
      <c r="F117" s="26">
        <f t="shared" si="1"/>
        <v>43218</v>
      </c>
    </row>
    <row r="118">
      <c r="A118" s="10" t="s">
        <v>2810</v>
      </c>
      <c r="B118" s="25" t="s">
        <v>2811</v>
      </c>
      <c r="C118" s="10" t="s">
        <v>232</v>
      </c>
      <c r="D118" s="10" t="s">
        <v>233</v>
      </c>
      <c r="E118" s="23" t="str">
        <f>IFERROR(__xludf.DUMMYFUNCTION("REGEXEXTRACT(TO_TEXT(A118), ""(\d{2}/\d{2}/\d{4})"")"),"01/05/2018")</f>
        <v>01/05/2018</v>
      </c>
      <c r="F118" s="26">
        <f t="shared" si="1"/>
        <v>43221</v>
      </c>
    </row>
    <row r="119">
      <c r="A119" s="11" t="s">
        <v>2812</v>
      </c>
      <c r="B119" s="25" t="s">
        <v>2813</v>
      </c>
      <c r="C119" s="11" t="s">
        <v>167</v>
      </c>
      <c r="D119" s="13" t="s">
        <v>234</v>
      </c>
      <c r="E119" s="23" t="str">
        <f>IFERROR(__xludf.DUMMYFUNCTION("REGEXEXTRACT(TO_TEXT(A119), ""(\d{2}/\d{2}/\d{4})"")"),"03/05/2018")</f>
        <v>03/05/2018</v>
      </c>
      <c r="F119" s="26">
        <f t="shared" si="1"/>
        <v>43223</v>
      </c>
    </row>
    <row r="120">
      <c r="A120" s="10" t="s">
        <v>2814</v>
      </c>
      <c r="B120" s="25" t="s">
        <v>2815</v>
      </c>
      <c r="C120" s="12" t="s">
        <v>235</v>
      </c>
      <c r="D120" s="10" t="s">
        <v>236</v>
      </c>
      <c r="E120" s="23" t="str">
        <f>IFERROR(__xludf.DUMMYFUNCTION("REGEXEXTRACT(TO_TEXT(A120), ""(\d{2}/\d{2}/\d{4})"")"),"05/05/2018")</f>
        <v>05/05/2018</v>
      </c>
      <c r="F120" s="26">
        <f t="shared" si="1"/>
        <v>43225</v>
      </c>
    </row>
    <row r="121">
      <c r="A121" s="11" t="s">
        <v>2816</v>
      </c>
      <c r="B121" s="25" t="s">
        <v>2817</v>
      </c>
      <c r="C121" s="11" t="s">
        <v>237</v>
      </c>
      <c r="D121" s="11" t="s">
        <v>238</v>
      </c>
      <c r="E121" s="23" t="str">
        <f>IFERROR(__xludf.DUMMYFUNCTION("REGEXEXTRACT(TO_TEXT(A121), ""(\d{2}/\d{2}/\d{4})"")"),"08/05/2018")</f>
        <v>08/05/2018</v>
      </c>
      <c r="F121" s="26">
        <f t="shared" si="1"/>
        <v>43228</v>
      </c>
    </row>
    <row r="122">
      <c r="A122" s="10" t="s">
        <v>2818</v>
      </c>
      <c r="B122" s="25" t="s">
        <v>2819</v>
      </c>
      <c r="C122" s="10" t="s">
        <v>239</v>
      </c>
      <c r="D122" s="10" t="s">
        <v>240</v>
      </c>
      <c r="E122" s="23" t="str">
        <f>IFERROR(__xludf.DUMMYFUNCTION("REGEXEXTRACT(TO_TEXT(A122), ""(\d{2}/\d{2}/\d{4})"")"),"10/05/2018")</f>
        <v>10/05/2018</v>
      </c>
      <c r="F122" s="26">
        <f t="shared" si="1"/>
        <v>43230</v>
      </c>
    </row>
    <row r="123">
      <c r="A123" s="11" t="s">
        <v>2820</v>
      </c>
      <c r="B123" s="25" t="s">
        <v>2821</v>
      </c>
      <c r="C123" s="11" t="s">
        <v>241</v>
      </c>
      <c r="D123" s="11" t="s">
        <v>242</v>
      </c>
      <c r="E123" s="23" t="str">
        <f>IFERROR(__xludf.DUMMYFUNCTION("REGEXEXTRACT(TO_TEXT(A123), ""(\d{2}/\d{2}/\d{4})"")"),"12/05/2018")</f>
        <v>12/05/2018</v>
      </c>
      <c r="F123" s="26">
        <f t="shared" si="1"/>
        <v>43232</v>
      </c>
    </row>
    <row r="124">
      <c r="A124" s="10" t="s">
        <v>2822</v>
      </c>
      <c r="B124" s="25" t="s">
        <v>2823</v>
      </c>
      <c r="C124" s="10" t="s">
        <v>243</v>
      </c>
      <c r="D124" s="12" t="s">
        <v>244</v>
      </c>
      <c r="E124" s="23" t="str">
        <f>IFERROR(__xludf.DUMMYFUNCTION("REGEXEXTRACT(TO_TEXT(A124), ""(\d{2}/\d{2}/\d{4})"")"),"15/05/2018")</f>
        <v>15/05/2018</v>
      </c>
      <c r="F124" s="26">
        <f t="shared" si="1"/>
        <v>43235</v>
      </c>
    </row>
    <row r="125">
      <c r="A125" s="11" t="s">
        <v>2824</v>
      </c>
      <c r="B125" s="25" t="s">
        <v>2825</v>
      </c>
      <c r="C125" s="11" t="s">
        <v>245</v>
      </c>
      <c r="D125" s="11" t="s">
        <v>246</v>
      </c>
      <c r="E125" s="23" t="str">
        <f>IFERROR(__xludf.DUMMYFUNCTION("REGEXEXTRACT(TO_TEXT(A125), ""(\d{2}/\d{2}/\d{4})"")"),"17/05/2018")</f>
        <v>17/05/2018</v>
      </c>
      <c r="F125" s="26">
        <f t="shared" si="1"/>
        <v>43237</v>
      </c>
    </row>
    <row r="126">
      <c r="A126" s="10" t="s">
        <v>2826</v>
      </c>
      <c r="B126" s="25" t="s">
        <v>2827</v>
      </c>
      <c r="C126" s="12" t="s">
        <v>247</v>
      </c>
      <c r="D126" s="10" t="s">
        <v>248</v>
      </c>
      <c r="E126" s="23" t="str">
        <f>IFERROR(__xludf.DUMMYFUNCTION("REGEXEXTRACT(TO_TEXT(A126), ""(\d{2}/\d{2}/\d{4})"")"),"19/05/2018")</f>
        <v>19/05/2018</v>
      </c>
      <c r="F126" s="26">
        <f t="shared" si="1"/>
        <v>43239</v>
      </c>
    </row>
    <row r="127">
      <c r="A127" s="11" t="s">
        <v>2828</v>
      </c>
      <c r="B127" s="25" t="s">
        <v>2829</v>
      </c>
      <c r="C127" s="11" t="s">
        <v>249</v>
      </c>
      <c r="D127" s="13" t="s">
        <v>250</v>
      </c>
      <c r="E127" s="23" t="str">
        <f>IFERROR(__xludf.DUMMYFUNCTION("REGEXEXTRACT(TO_TEXT(A127), ""(\d{2}/\d{2}/\d{4})"")"),"22/05/2018")</f>
        <v>22/05/2018</v>
      </c>
      <c r="F127" s="26">
        <f t="shared" si="1"/>
        <v>43242</v>
      </c>
    </row>
    <row r="128">
      <c r="A128" s="10" t="s">
        <v>2830</v>
      </c>
      <c r="B128" s="25" t="s">
        <v>2831</v>
      </c>
      <c r="C128" s="10" t="s">
        <v>251</v>
      </c>
      <c r="D128" s="10" t="s">
        <v>252</v>
      </c>
      <c r="E128" s="23" t="str">
        <f>IFERROR(__xludf.DUMMYFUNCTION("REGEXEXTRACT(TO_TEXT(A128), ""(\d{2}/\d{2}/\d{4})"")"),"24/05/2018")</f>
        <v>24/05/2018</v>
      </c>
      <c r="F128" s="26">
        <f t="shared" si="1"/>
        <v>43244</v>
      </c>
    </row>
    <row r="129">
      <c r="A129" s="11" t="s">
        <v>2832</v>
      </c>
      <c r="B129" s="25" t="s">
        <v>2833</v>
      </c>
      <c r="C129" s="11" t="s">
        <v>253</v>
      </c>
      <c r="D129" s="11" t="s">
        <v>254</v>
      </c>
      <c r="E129" s="23" t="str">
        <f>IFERROR(__xludf.DUMMYFUNCTION("REGEXEXTRACT(TO_TEXT(A129), ""(\d{2}/\d{2}/\d{4})"")"),"26/05/2018")</f>
        <v>26/05/2018</v>
      </c>
      <c r="F129" s="26">
        <f t="shared" si="1"/>
        <v>43246</v>
      </c>
    </row>
    <row r="130">
      <c r="A130" s="10" t="s">
        <v>2834</v>
      </c>
      <c r="B130" s="25" t="s">
        <v>2835</v>
      </c>
      <c r="C130" s="10" t="s">
        <v>255</v>
      </c>
      <c r="D130" s="10" t="s">
        <v>256</v>
      </c>
      <c r="E130" s="23" t="str">
        <f>IFERROR(__xludf.DUMMYFUNCTION("REGEXEXTRACT(TO_TEXT(A130), ""(\d{2}/\d{2}/\d{4})"")"),"29/05/2018")</f>
        <v>29/05/2018</v>
      </c>
      <c r="F130" s="26">
        <f t="shared" si="1"/>
        <v>43249</v>
      </c>
    </row>
    <row r="131">
      <c r="A131" s="11" t="s">
        <v>2836</v>
      </c>
      <c r="B131" s="25" t="s">
        <v>2837</v>
      </c>
      <c r="C131" s="11" t="s">
        <v>257</v>
      </c>
      <c r="D131" s="13" t="s">
        <v>258</v>
      </c>
      <c r="E131" s="23" t="str">
        <f>IFERROR(__xludf.DUMMYFUNCTION("REGEXEXTRACT(TO_TEXT(A131), ""(\d{2}/\d{2}/\d{4})"")"),"31/05/2018")</f>
        <v>31/05/2018</v>
      </c>
      <c r="F131" s="26">
        <f t="shared" si="1"/>
        <v>43251</v>
      </c>
    </row>
    <row r="132">
      <c r="A132" s="10" t="s">
        <v>2838</v>
      </c>
      <c r="B132" s="25" t="s">
        <v>2839</v>
      </c>
      <c r="C132" s="12" t="s">
        <v>259</v>
      </c>
      <c r="D132" s="10" t="s">
        <v>260</v>
      </c>
      <c r="E132" s="23" t="str">
        <f>IFERROR(__xludf.DUMMYFUNCTION("REGEXEXTRACT(TO_TEXT(A132), ""(\d{2}/\d{2}/\d{4})"")"),"02/06/2018")</f>
        <v>02/06/2018</v>
      </c>
      <c r="F132" s="26">
        <f t="shared" si="1"/>
        <v>43253</v>
      </c>
    </row>
    <row r="133">
      <c r="A133" s="11" t="s">
        <v>2840</v>
      </c>
      <c r="B133" s="25" t="s">
        <v>2841</v>
      </c>
      <c r="C133" s="11" t="s">
        <v>261</v>
      </c>
      <c r="D133" s="11" t="s">
        <v>262</v>
      </c>
      <c r="E133" s="23" t="str">
        <f>IFERROR(__xludf.DUMMYFUNCTION("REGEXEXTRACT(TO_TEXT(A133), ""(\d{2}/\d{2}/\d{4})"")"),"05/06/2018")</f>
        <v>05/06/2018</v>
      </c>
      <c r="F133" s="26">
        <f t="shared" si="1"/>
        <v>43256</v>
      </c>
    </row>
    <row r="134">
      <c r="A134" s="10" t="s">
        <v>2842</v>
      </c>
      <c r="B134" s="25" t="s">
        <v>2843</v>
      </c>
      <c r="C134" s="10" t="s">
        <v>263</v>
      </c>
      <c r="D134" s="10" t="s">
        <v>264</v>
      </c>
      <c r="E134" s="23" t="str">
        <f>IFERROR(__xludf.DUMMYFUNCTION("REGEXEXTRACT(TO_TEXT(A134), ""(\d{2}/\d{2}/\d{4})"")"),"07/06/2018")</f>
        <v>07/06/2018</v>
      </c>
      <c r="F134" s="26">
        <f t="shared" si="1"/>
        <v>43258</v>
      </c>
    </row>
    <row r="135">
      <c r="A135" s="11" t="s">
        <v>2844</v>
      </c>
      <c r="B135" s="25" t="s">
        <v>2845</v>
      </c>
      <c r="C135" s="11" t="s">
        <v>265</v>
      </c>
      <c r="D135" s="11" t="s">
        <v>266</v>
      </c>
      <c r="E135" s="23" t="str">
        <f>IFERROR(__xludf.DUMMYFUNCTION("REGEXEXTRACT(TO_TEXT(A135), ""(\d{2}/\d{2}/\d{4})"")"),"09/06/2018")</f>
        <v>09/06/2018</v>
      </c>
      <c r="F135" s="26">
        <f t="shared" si="1"/>
        <v>43260</v>
      </c>
    </row>
    <row r="136">
      <c r="A136" s="10" t="s">
        <v>2846</v>
      </c>
      <c r="B136" s="25" t="s">
        <v>2847</v>
      </c>
      <c r="C136" s="10" t="s">
        <v>267</v>
      </c>
      <c r="D136" s="10" t="s">
        <v>268</v>
      </c>
      <c r="E136" s="23" t="str">
        <f>IFERROR(__xludf.DUMMYFUNCTION("REGEXEXTRACT(TO_TEXT(A136), ""(\d{2}/\d{2}/\d{4})"")"),"12/06/2018")</f>
        <v>12/06/2018</v>
      </c>
      <c r="F136" s="26">
        <f t="shared" si="1"/>
        <v>43263</v>
      </c>
    </row>
    <row r="137">
      <c r="A137" s="11" t="s">
        <v>2848</v>
      </c>
      <c r="B137" s="25" t="s">
        <v>2849</v>
      </c>
      <c r="C137" s="11" t="s">
        <v>269</v>
      </c>
      <c r="D137" s="13" t="s">
        <v>270</v>
      </c>
      <c r="E137" s="23" t="str">
        <f>IFERROR(__xludf.DUMMYFUNCTION("REGEXEXTRACT(TO_TEXT(A137), ""(\d{2}/\d{2}/\d{4})"")"),"14/06/2018")</f>
        <v>14/06/2018</v>
      </c>
      <c r="F137" s="26">
        <f t="shared" si="1"/>
        <v>43265</v>
      </c>
    </row>
    <row r="138">
      <c r="A138" s="10" t="s">
        <v>2850</v>
      </c>
      <c r="B138" s="25" t="s">
        <v>2851</v>
      </c>
      <c r="C138" s="10" t="s">
        <v>271</v>
      </c>
      <c r="D138" s="10" t="s">
        <v>272</v>
      </c>
      <c r="E138" s="23" t="str">
        <f>IFERROR(__xludf.DUMMYFUNCTION("REGEXEXTRACT(TO_TEXT(A138), ""(\d{2}/\d{2}/\d{4})"")"),"16/06/2018")</f>
        <v>16/06/2018</v>
      </c>
      <c r="F138" s="26">
        <f t="shared" si="1"/>
        <v>43267</v>
      </c>
    </row>
    <row r="139">
      <c r="A139" s="11" t="s">
        <v>2852</v>
      </c>
      <c r="B139" s="25" t="s">
        <v>2853</v>
      </c>
      <c r="C139" s="11" t="s">
        <v>273</v>
      </c>
      <c r="D139" s="11" t="s">
        <v>274</v>
      </c>
      <c r="E139" s="23" t="str">
        <f>IFERROR(__xludf.DUMMYFUNCTION("REGEXEXTRACT(TO_TEXT(A139), ""(\d{2}/\d{2}/\d{4})"")"),"19/06/2018")</f>
        <v>19/06/2018</v>
      </c>
      <c r="F139" s="26">
        <f t="shared" si="1"/>
        <v>43270</v>
      </c>
    </row>
    <row r="140">
      <c r="A140" s="10" t="s">
        <v>2854</v>
      </c>
      <c r="B140" s="25" t="s">
        <v>2855</v>
      </c>
      <c r="C140" s="12" t="s">
        <v>275</v>
      </c>
      <c r="D140" s="10" t="s">
        <v>276</v>
      </c>
      <c r="E140" s="23" t="str">
        <f>IFERROR(__xludf.DUMMYFUNCTION("REGEXEXTRACT(TO_TEXT(A140), ""(\d{2}/\d{2}/\d{4})"")"),"21/06/2018")</f>
        <v>21/06/2018</v>
      </c>
      <c r="F140" s="26">
        <f t="shared" si="1"/>
        <v>43272</v>
      </c>
    </row>
    <row r="141">
      <c r="A141" s="11" t="s">
        <v>2856</v>
      </c>
      <c r="B141" s="25" t="s">
        <v>2857</v>
      </c>
      <c r="C141" s="11" t="s">
        <v>277</v>
      </c>
      <c r="D141" s="11" t="s">
        <v>278</v>
      </c>
      <c r="E141" s="23" t="str">
        <f>IFERROR(__xludf.DUMMYFUNCTION("REGEXEXTRACT(TO_TEXT(A141), ""(\d{2}/\d{2}/\d{4})"")"),"23/06/2018")</f>
        <v>23/06/2018</v>
      </c>
      <c r="F141" s="26">
        <f t="shared" si="1"/>
        <v>43274</v>
      </c>
    </row>
    <row r="142">
      <c r="A142" s="10" t="s">
        <v>2858</v>
      </c>
      <c r="B142" s="25" t="s">
        <v>2859</v>
      </c>
      <c r="C142" s="10" t="s">
        <v>279</v>
      </c>
      <c r="D142" s="12" t="s">
        <v>280</v>
      </c>
      <c r="E142" s="23" t="str">
        <f>IFERROR(__xludf.DUMMYFUNCTION("REGEXEXTRACT(TO_TEXT(A142), ""(\d{2}/\d{2}/\d{4})"")"),"26/06/2018")</f>
        <v>26/06/2018</v>
      </c>
      <c r="F142" s="26">
        <f t="shared" si="1"/>
        <v>43277</v>
      </c>
    </row>
    <row r="143">
      <c r="A143" s="11" t="s">
        <v>2860</v>
      </c>
      <c r="B143" s="25" t="s">
        <v>2861</v>
      </c>
      <c r="C143" s="11" t="s">
        <v>281</v>
      </c>
      <c r="D143" s="11" t="s">
        <v>282</v>
      </c>
      <c r="E143" s="23" t="str">
        <f>IFERROR(__xludf.DUMMYFUNCTION("REGEXEXTRACT(TO_TEXT(A143), ""(\d{2}/\d{2}/\d{4})"")"),"28/06/2018")</f>
        <v>28/06/2018</v>
      </c>
      <c r="F143" s="26">
        <f t="shared" si="1"/>
        <v>43279</v>
      </c>
    </row>
    <row r="144">
      <c r="A144" s="10" t="s">
        <v>2862</v>
      </c>
      <c r="B144" s="25" t="s">
        <v>2863</v>
      </c>
      <c r="C144" s="10" t="s">
        <v>283</v>
      </c>
      <c r="D144" s="10" t="s">
        <v>284</v>
      </c>
      <c r="E144" s="23" t="str">
        <f>IFERROR(__xludf.DUMMYFUNCTION("REGEXEXTRACT(TO_TEXT(A144), ""(\d{2}/\d{2}/\d{4})"")"),"30/06/2018")</f>
        <v>30/06/2018</v>
      </c>
      <c r="F144" s="26">
        <f t="shared" si="1"/>
        <v>43281</v>
      </c>
    </row>
    <row r="145">
      <c r="A145" s="11" t="s">
        <v>2864</v>
      </c>
      <c r="B145" s="25" t="s">
        <v>2865</v>
      </c>
      <c r="C145" s="11" t="s">
        <v>285</v>
      </c>
      <c r="D145" s="11" t="s">
        <v>286</v>
      </c>
      <c r="E145" s="23" t="str">
        <f>IFERROR(__xludf.DUMMYFUNCTION("REGEXEXTRACT(TO_TEXT(A145), ""(\d{2}/\d{2}/\d{4})"")"),"03/07/2018")</f>
        <v>03/07/2018</v>
      </c>
      <c r="F145" s="26">
        <f t="shared" si="1"/>
        <v>43284</v>
      </c>
    </row>
    <row r="146">
      <c r="A146" s="10" t="s">
        <v>2866</v>
      </c>
      <c r="B146" s="25" t="s">
        <v>2867</v>
      </c>
      <c r="C146" s="10" t="s">
        <v>287</v>
      </c>
      <c r="D146" s="10" t="s">
        <v>288</v>
      </c>
      <c r="E146" s="23" t="str">
        <f>IFERROR(__xludf.DUMMYFUNCTION("REGEXEXTRACT(TO_TEXT(A146), ""(\d{2}/\d{2}/\d{4})"")"),"05/07/2018")</f>
        <v>05/07/2018</v>
      </c>
      <c r="F146" s="26">
        <f t="shared" si="1"/>
        <v>43286</v>
      </c>
    </row>
    <row r="147">
      <c r="A147" s="11" t="s">
        <v>2868</v>
      </c>
      <c r="B147" s="25" t="s">
        <v>2869</v>
      </c>
      <c r="C147" s="11" t="s">
        <v>289</v>
      </c>
      <c r="D147" s="13" t="s">
        <v>290</v>
      </c>
      <c r="E147" s="23" t="str">
        <f>IFERROR(__xludf.DUMMYFUNCTION("REGEXEXTRACT(TO_TEXT(A147), ""(\d{2}/\d{2}/\d{4})"")"),"07/07/2018")</f>
        <v>07/07/2018</v>
      </c>
      <c r="F147" s="26">
        <f t="shared" si="1"/>
        <v>43288</v>
      </c>
    </row>
    <row r="148">
      <c r="A148" s="10" t="s">
        <v>2870</v>
      </c>
      <c r="B148" s="25" t="s">
        <v>2871</v>
      </c>
      <c r="C148" s="10" t="s">
        <v>291</v>
      </c>
      <c r="D148" s="10" t="s">
        <v>292</v>
      </c>
      <c r="E148" s="23" t="str">
        <f>IFERROR(__xludf.DUMMYFUNCTION("REGEXEXTRACT(TO_TEXT(A148), ""(\d{2}/\d{2}/\d{4})"")"),"10/07/2018")</f>
        <v>10/07/2018</v>
      </c>
      <c r="F148" s="26">
        <f t="shared" si="1"/>
        <v>43291</v>
      </c>
    </row>
    <row r="149">
      <c r="A149" s="11" t="s">
        <v>2872</v>
      </c>
      <c r="B149" s="25" t="s">
        <v>2873</v>
      </c>
      <c r="C149" s="11" t="s">
        <v>293</v>
      </c>
      <c r="D149" s="11" t="s">
        <v>294</v>
      </c>
      <c r="E149" s="23" t="str">
        <f>IFERROR(__xludf.DUMMYFUNCTION("REGEXEXTRACT(TO_TEXT(A149), ""(\d{2}/\d{2}/\d{4})"")"),"12/07/2018")</f>
        <v>12/07/2018</v>
      </c>
      <c r="F149" s="26">
        <f t="shared" si="1"/>
        <v>43293</v>
      </c>
    </row>
    <row r="150">
      <c r="A150" s="10" t="s">
        <v>2874</v>
      </c>
      <c r="B150" s="25" t="s">
        <v>2875</v>
      </c>
      <c r="C150" s="12" t="s">
        <v>295</v>
      </c>
      <c r="D150" s="10" t="s">
        <v>296</v>
      </c>
      <c r="E150" s="23" t="str">
        <f>IFERROR(__xludf.DUMMYFUNCTION("REGEXEXTRACT(TO_TEXT(A150), ""(\d{2}/\d{2}/\d{4})"")"),"14/07/2018")</f>
        <v>14/07/2018</v>
      </c>
      <c r="F150" s="26">
        <f t="shared" si="1"/>
        <v>43295</v>
      </c>
    </row>
    <row r="151">
      <c r="A151" s="11" t="s">
        <v>2876</v>
      </c>
      <c r="B151" s="25" t="s">
        <v>2877</v>
      </c>
      <c r="C151" s="11" t="s">
        <v>297</v>
      </c>
      <c r="D151" s="11" t="s">
        <v>298</v>
      </c>
      <c r="E151" s="23" t="str">
        <f>IFERROR(__xludf.DUMMYFUNCTION("REGEXEXTRACT(TO_TEXT(A151), ""(\d{2}/\d{2}/\d{4})"")"),"17/07/2018")</f>
        <v>17/07/2018</v>
      </c>
      <c r="F151" s="26">
        <f t="shared" si="1"/>
        <v>43298</v>
      </c>
    </row>
    <row r="152">
      <c r="A152" s="10" t="s">
        <v>2878</v>
      </c>
      <c r="B152" s="25" t="s">
        <v>2879</v>
      </c>
      <c r="C152" s="10" t="s">
        <v>299</v>
      </c>
      <c r="D152" s="10" t="s">
        <v>300</v>
      </c>
      <c r="E152" s="23" t="str">
        <f>IFERROR(__xludf.DUMMYFUNCTION("REGEXEXTRACT(TO_TEXT(A152), ""(\d{2}/\d{2}/\d{4})"")"),"19/07/2018")</f>
        <v>19/07/2018</v>
      </c>
      <c r="F152" s="26">
        <f t="shared" si="1"/>
        <v>43300</v>
      </c>
    </row>
    <row r="153">
      <c r="A153" s="11" t="s">
        <v>2880</v>
      </c>
      <c r="B153" s="25" t="s">
        <v>2881</v>
      </c>
      <c r="C153" s="11" t="s">
        <v>301</v>
      </c>
      <c r="D153" s="11" t="s">
        <v>302</v>
      </c>
      <c r="E153" s="23" t="str">
        <f>IFERROR(__xludf.DUMMYFUNCTION("REGEXEXTRACT(TO_TEXT(A153), ""(\d{2}/\d{2}/\d{4})"")"),"21/07/2018")</f>
        <v>21/07/2018</v>
      </c>
      <c r="F153" s="26">
        <f t="shared" si="1"/>
        <v>43302</v>
      </c>
    </row>
    <row r="154">
      <c r="A154" s="10" t="s">
        <v>2882</v>
      </c>
      <c r="B154" s="25" t="s">
        <v>2883</v>
      </c>
      <c r="C154" s="10" t="s">
        <v>303</v>
      </c>
      <c r="D154" s="10" t="s">
        <v>304</v>
      </c>
      <c r="E154" s="23" t="str">
        <f>IFERROR(__xludf.DUMMYFUNCTION("REGEXEXTRACT(TO_TEXT(A154), ""(\d{2}/\d{2}/\d{4})"")"),"24/07/2018")</f>
        <v>24/07/2018</v>
      </c>
      <c r="F154" s="26">
        <f t="shared" si="1"/>
        <v>43305</v>
      </c>
    </row>
    <row r="155">
      <c r="A155" s="11" t="s">
        <v>2884</v>
      </c>
      <c r="B155" s="25" t="s">
        <v>2885</v>
      </c>
      <c r="C155" s="11" t="s">
        <v>305</v>
      </c>
      <c r="D155" s="11" t="s">
        <v>306</v>
      </c>
      <c r="E155" s="23" t="str">
        <f>IFERROR(__xludf.DUMMYFUNCTION("REGEXEXTRACT(TO_TEXT(A155), ""(\d{2}/\d{2}/\d{4})"")"),"26/07/2018")</f>
        <v>26/07/2018</v>
      </c>
      <c r="F155" s="26">
        <f t="shared" si="1"/>
        <v>43307</v>
      </c>
    </row>
    <row r="156">
      <c r="A156" s="10" t="s">
        <v>2886</v>
      </c>
      <c r="B156" s="25" t="s">
        <v>2887</v>
      </c>
      <c r="C156" s="10" t="s">
        <v>307</v>
      </c>
      <c r="D156" s="12" t="s">
        <v>308</v>
      </c>
      <c r="E156" s="23" t="str">
        <f>IFERROR(__xludf.DUMMYFUNCTION("REGEXEXTRACT(TO_TEXT(A156), ""(\d{2}/\d{2}/\d{4})"")"),"28/07/2018")</f>
        <v>28/07/2018</v>
      </c>
      <c r="F156" s="26">
        <f t="shared" si="1"/>
        <v>43309</v>
      </c>
    </row>
    <row r="157">
      <c r="A157" s="11" t="s">
        <v>2888</v>
      </c>
      <c r="B157" s="25" t="s">
        <v>2889</v>
      </c>
      <c r="C157" s="11" t="s">
        <v>309</v>
      </c>
      <c r="D157" s="11" t="s">
        <v>310</v>
      </c>
      <c r="E157" s="23" t="str">
        <f>IFERROR(__xludf.DUMMYFUNCTION("REGEXEXTRACT(TO_TEXT(A157), ""(\d{2}/\d{2}/\d{4})"")"),"31/07/2018")</f>
        <v>31/07/2018</v>
      </c>
      <c r="F157" s="26">
        <f t="shared" si="1"/>
        <v>43312</v>
      </c>
    </row>
    <row r="158">
      <c r="A158" s="10" t="s">
        <v>2890</v>
      </c>
      <c r="B158" s="25" t="s">
        <v>2891</v>
      </c>
      <c r="C158" s="10" t="s">
        <v>311</v>
      </c>
      <c r="D158" s="10" t="s">
        <v>312</v>
      </c>
      <c r="E158" s="23" t="str">
        <f>IFERROR(__xludf.DUMMYFUNCTION("REGEXEXTRACT(TO_TEXT(A158), ""(\d{2}/\d{2}/\d{4})"")"),"02/08/2018")</f>
        <v>02/08/2018</v>
      </c>
      <c r="F158" s="26">
        <f t="shared" si="1"/>
        <v>43314</v>
      </c>
    </row>
    <row r="159">
      <c r="A159" s="11" t="s">
        <v>2892</v>
      </c>
      <c r="B159" s="25" t="s">
        <v>2893</v>
      </c>
      <c r="C159" s="11" t="s">
        <v>313</v>
      </c>
      <c r="D159" s="13" t="s">
        <v>314</v>
      </c>
      <c r="E159" s="23" t="str">
        <f>IFERROR(__xludf.DUMMYFUNCTION("REGEXEXTRACT(TO_TEXT(A159), ""(\d{2}/\d{2}/\d{4})"")"),"04/08/2018")</f>
        <v>04/08/2018</v>
      </c>
      <c r="F159" s="26">
        <f t="shared" si="1"/>
        <v>43316</v>
      </c>
    </row>
    <row r="160">
      <c r="A160" s="10" t="s">
        <v>2894</v>
      </c>
      <c r="B160" s="25" t="s">
        <v>2895</v>
      </c>
      <c r="C160" s="12" t="s">
        <v>315</v>
      </c>
      <c r="D160" s="10" t="s">
        <v>316</v>
      </c>
      <c r="E160" s="23" t="str">
        <f>IFERROR(__xludf.DUMMYFUNCTION("REGEXEXTRACT(TO_TEXT(A160), ""(\d{2}/\d{2}/\d{4})"")"),"07/08/2018")</f>
        <v>07/08/2018</v>
      </c>
      <c r="F160" s="26">
        <f t="shared" si="1"/>
        <v>43319</v>
      </c>
    </row>
    <row r="161">
      <c r="A161" s="11" t="s">
        <v>2896</v>
      </c>
      <c r="B161" s="25" t="s">
        <v>2897</v>
      </c>
      <c r="C161" s="11" t="s">
        <v>317</v>
      </c>
      <c r="D161" s="11" t="s">
        <v>318</v>
      </c>
      <c r="E161" s="23" t="str">
        <f>IFERROR(__xludf.DUMMYFUNCTION("REGEXEXTRACT(TO_TEXT(A161), ""(\d{2}/\d{2}/\d{4})"")"),"09/08/2018")</f>
        <v>09/08/2018</v>
      </c>
      <c r="F161" s="26">
        <f t="shared" si="1"/>
        <v>43321</v>
      </c>
    </row>
    <row r="162">
      <c r="A162" s="10" t="s">
        <v>2898</v>
      </c>
      <c r="B162" s="25" t="s">
        <v>2899</v>
      </c>
      <c r="C162" s="10" t="s">
        <v>319</v>
      </c>
      <c r="D162" s="10" t="s">
        <v>320</v>
      </c>
      <c r="E162" s="23" t="str">
        <f>IFERROR(__xludf.DUMMYFUNCTION("REGEXEXTRACT(TO_TEXT(A162), ""(\d{2}/\d{2}/\d{4})"")"),"11/08/2018")</f>
        <v>11/08/2018</v>
      </c>
      <c r="F162" s="26">
        <f t="shared" si="1"/>
        <v>43323</v>
      </c>
    </row>
    <row r="163">
      <c r="A163" s="11" t="s">
        <v>2900</v>
      </c>
      <c r="B163" s="25" t="s">
        <v>2901</v>
      </c>
      <c r="C163" s="11" t="s">
        <v>321</v>
      </c>
      <c r="D163" s="13" t="s">
        <v>322</v>
      </c>
      <c r="E163" s="23" t="str">
        <f>IFERROR(__xludf.DUMMYFUNCTION("REGEXEXTRACT(TO_TEXT(A163), ""(\d{2}/\d{2}/\d{4})"")"),"14/08/2018")</f>
        <v>14/08/2018</v>
      </c>
      <c r="F163" s="26">
        <f t="shared" si="1"/>
        <v>43326</v>
      </c>
    </row>
    <row r="164">
      <c r="A164" s="10" t="s">
        <v>2902</v>
      </c>
      <c r="B164" s="25" t="s">
        <v>2903</v>
      </c>
      <c r="C164" s="10" t="s">
        <v>323</v>
      </c>
      <c r="D164" s="12" t="s">
        <v>324</v>
      </c>
      <c r="E164" s="23" t="str">
        <f>IFERROR(__xludf.DUMMYFUNCTION("REGEXEXTRACT(TO_TEXT(A164), ""(\d{2}/\d{2}/\d{4})"")"),"16/08/2018")</f>
        <v>16/08/2018</v>
      </c>
      <c r="F164" s="26">
        <f t="shared" si="1"/>
        <v>43328</v>
      </c>
    </row>
    <row r="165">
      <c r="A165" s="11" t="s">
        <v>2904</v>
      </c>
      <c r="B165" s="25" t="s">
        <v>2905</v>
      </c>
      <c r="C165" s="11" t="s">
        <v>325</v>
      </c>
      <c r="D165" s="13" t="s">
        <v>326</v>
      </c>
      <c r="E165" s="23" t="str">
        <f>IFERROR(__xludf.DUMMYFUNCTION("REGEXEXTRACT(TO_TEXT(A165), ""(\d{2}/\d{2}/\d{4})"")"),"18/08/2018")</f>
        <v>18/08/2018</v>
      </c>
      <c r="F165" s="26">
        <f t="shared" si="1"/>
        <v>43330</v>
      </c>
    </row>
    <row r="166">
      <c r="A166" s="10" t="s">
        <v>2906</v>
      </c>
      <c r="B166" s="25" t="s">
        <v>2907</v>
      </c>
      <c r="C166" s="10" t="s">
        <v>327</v>
      </c>
      <c r="D166" s="10" t="s">
        <v>328</v>
      </c>
      <c r="E166" s="23" t="str">
        <f>IFERROR(__xludf.DUMMYFUNCTION("REGEXEXTRACT(TO_TEXT(A166), ""(\d{2}/\d{2}/\d{4})"")"),"21/08/2018")</f>
        <v>21/08/2018</v>
      </c>
      <c r="F166" s="26">
        <f t="shared" si="1"/>
        <v>43333</v>
      </c>
    </row>
    <row r="167">
      <c r="A167" s="11" t="s">
        <v>2908</v>
      </c>
      <c r="B167" s="25" t="s">
        <v>2909</v>
      </c>
      <c r="C167" s="11" t="s">
        <v>329</v>
      </c>
      <c r="D167" s="11" t="s">
        <v>330</v>
      </c>
      <c r="E167" s="23" t="str">
        <f>IFERROR(__xludf.DUMMYFUNCTION("REGEXEXTRACT(TO_TEXT(A167), ""(\d{2}/\d{2}/\d{4})"")"),"23/08/2018")</f>
        <v>23/08/2018</v>
      </c>
      <c r="F167" s="26">
        <f t="shared" si="1"/>
        <v>43335</v>
      </c>
    </row>
    <row r="168">
      <c r="A168" s="10" t="s">
        <v>2910</v>
      </c>
      <c r="B168" s="25" t="s">
        <v>2911</v>
      </c>
      <c r="C168" s="10" t="s">
        <v>331</v>
      </c>
      <c r="D168" s="10" t="s">
        <v>332</v>
      </c>
      <c r="E168" s="23" t="str">
        <f>IFERROR(__xludf.DUMMYFUNCTION("REGEXEXTRACT(TO_TEXT(A168), ""(\d{2}/\d{2}/\d{4})"")"),"25/08/2018")</f>
        <v>25/08/2018</v>
      </c>
      <c r="F168" s="26">
        <f t="shared" si="1"/>
        <v>43337</v>
      </c>
    </row>
    <row r="169">
      <c r="A169" s="11" t="s">
        <v>2912</v>
      </c>
      <c r="B169" s="25" t="s">
        <v>2913</v>
      </c>
      <c r="C169" s="11" t="s">
        <v>333</v>
      </c>
      <c r="D169" s="11" t="s">
        <v>334</v>
      </c>
      <c r="E169" s="23" t="str">
        <f>IFERROR(__xludf.DUMMYFUNCTION("REGEXEXTRACT(TO_TEXT(A169), ""(\d{2}/\d{2}/\d{4})"")"),"28/08/2018")</f>
        <v>28/08/2018</v>
      </c>
      <c r="F169" s="26">
        <f t="shared" si="1"/>
        <v>43340</v>
      </c>
    </row>
    <row r="170">
      <c r="A170" s="10" t="s">
        <v>2914</v>
      </c>
      <c r="B170" s="25" t="s">
        <v>2915</v>
      </c>
      <c r="C170" s="10" t="s">
        <v>335</v>
      </c>
      <c r="D170" s="10" t="s">
        <v>336</v>
      </c>
      <c r="E170" s="23" t="str">
        <f>IFERROR(__xludf.DUMMYFUNCTION("REGEXEXTRACT(TO_TEXT(A170), ""(\d{2}/\d{2}/\d{4})"")"),"30/08/2018")</f>
        <v>30/08/2018</v>
      </c>
      <c r="F170" s="26">
        <f t="shared" si="1"/>
        <v>43342</v>
      </c>
    </row>
    <row r="171">
      <c r="A171" s="11" t="s">
        <v>2916</v>
      </c>
      <c r="B171" s="25" t="s">
        <v>2917</v>
      </c>
      <c r="C171" s="11" t="s">
        <v>337</v>
      </c>
      <c r="D171" s="11" t="s">
        <v>338</v>
      </c>
      <c r="E171" s="23" t="str">
        <f>IFERROR(__xludf.DUMMYFUNCTION("REGEXEXTRACT(TO_TEXT(A171), ""(\d{2}/\d{2}/\d{4})"")"),"01/09/2018")</f>
        <v>01/09/2018</v>
      </c>
      <c r="F171" s="26">
        <f t="shared" si="1"/>
        <v>43344</v>
      </c>
    </row>
    <row r="172">
      <c r="A172" s="10" t="s">
        <v>2918</v>
      </c>
      <c r="B172" s="25" t="s">
        <v>2919</v>
      </c>
      <c r="C172" s="10" t="s">
        <v>339</v>
      </c>
      <c r="D172" s="10" t="s">
        <v>340</v>
      </c>
      <c r="E172" s="23" t="str">
        <f>IFERROR(__xludf.DUMMYFUNCTION("REGEXEXTRACT(TO_TEXT(A172), ""(\d{2}/\d{2}/\d{4})"")"),"04/09/2018")</f>
        <v>04/09/2018</v>
      </c>
      <c r="F172" s="26">
        <f t="shared" si="1"/>
        <v>43347</v>
      </c>
    </row>
    <row r="173">
      <c r="A173" s="11" t="s">
        <v>2920</v>
      </c>
      <c r="B173" s="25" t="s">
        <v>2921</v>
      </c>
      <c r="C173" s="11" t="s">
        <v>341</v>
      </c>
      <c r="D173" s="11" t="s">
        <v>342</v>
      </c>
      <c r="E173" s="23" t="str">
        <f>IFERROR(__xludf.DUMMYFUNCTION("REGEXEXTRACT(TO_TEXT(A173), ""(\d{2}/\d{2}/\d{4})"")"),"06/09/2018")</f>
        <v>06/09/2018</v>
      </c>
      <c r="F173" s="26">
        <f t="shared" si="1"/>
        <v>43349</v>
      </c>
    </row>
    <row r="174">
      <c r="A174" s="10" t="s">
        <v>2922</v>
      </c>
      <c r="B174" s="25" t="s">
        <v>2923</v>
      </c>
      <c r="C174" s="10" t="s">
        <v>343</v>
      </c>
      <c r="D174" s="10" t="s">
        <v>344</v>
      </c>
      <c r="E174" s="23" t="str">
        <f>IFERROR(__xludf.DUMMYFUNCTION("REGEXEXTRACT(TO_TEXT(A174), ""(\d{2}/\d{2}/\d{4})"")"),"08/09/2018")</f>
        <v>08/09/2018</v>
      </c>
      <c r="F174" s="26">
        <f t="shared" si="1"/>
        <v>43351</v>
      </c>
    </row>
    <row r="175">
      <c r="A175" s="11" t="s">
        <v>2924</v>
      </c>
      <c r="B175" s="25" t="s">
        <v>2925</v>
      </c>
      <c r="C175" s="11" t="s">
        <v>345</v>
      </c>
      <c r="D175" s="11" t="s">
        <v>346</v>
      </c>
      <c r="E175" s="23" t="str">
        <f>IFERROR(__xludf.DUMMYFUNCTION("REGEXEXTRACT(TO_TEXT(A175), ""(\d{2}/\d{2}/\d{4})"")"),"11/09/2018")</f>
        <v>11/09/2018</v>
      </c>
      <c r="F175" s="26">
        <f t="shared" si="1"/>
        <v>43354</v>
      </c>
    </row>
    <row r="176">
      <c r="A176" s="10" t="s">
        <v>2926</v>
      </c>
      <c r="B176" s="25" t="s">
        <v>2927</v>
      </c>
      <c r="C176" s="10" t="s">
        <v>347</v>
      </c>
      <c r="D176" s="10" t="s">
        <v>348</v>
      </c>
      <c r="E176" s="23" t="str">
        <f>IFERROR(__xludf.DUMMYFUNCTION("REGEXEXTRACT(TO_TEXT(A176), ""(\d{2}/\d{2}/\d{4})"")"),"13/09/2018")</f>
        <v>13/09/2018</v>
      </c>
      <c r="F176" s="26">
        <f t="shared" si="1"/>
        <v>43356</v>
      </c>
    </row>
    <row r="177">
      <c r="A177" s="11" t="s">
        <v>2928</v>
      </c>
      <c r="B177" s="25" t="s">
        <v>2929</v>
      </c>
      <c r="C177" s="11" t="s">
        <v>349</v>
      </c>
      <c r="D177" s="13" t="s">
        <v>350</v>
      </c>
      <c r="E177" s="23" t="str">
        <f>IFERROR(__xludf.DUMMYFUNCTION("REGEXEXTRACT(TO_TEXT(A177), ""(\d{2}/\d{2}/\d{4})"")"),"15/09/2018")</f>
        <v>15/09/2018</v>
      </c>
      <c r="F177" s="26">
        <f t="shared" si="1"/>
        <v>43358</v>
      </c>
    </row>
    <row r="178">
      <c r="A178" s="10" t="s">
        <v>2930</v>
      </c>
      <c r="B178" s="25" t="s">
        <v>2931</v>
      </c>
      <c r="C178" s="10" t="s">
        <v>351</v>
      </c>
      <c r="D178" s="10" t="s">
        <v>352</v>
      </c>
      <c r="E178" s="23" t="str">
        <f>IFERROR(__xludf.DUMMYFUNCTION("REGEXEXTRACT(TO_TEXT(A178), ""(\d{2}/\d{2}/\d{4})"")"),"18/09/2018")</f>
        <v>18/09/2018</v>
      </c>
      <c r="F178" s="26">
        <f t="shared" si="1"/>
        <v>43361</v>
      </c>
    </row>
    <row r="179">
      <c r="A179" s="11" t="s">
        <v>2932</v>
      </c>
      <c r="B179" s="25" t="s">
        <v>2933</v>
      </c>
      <c r="C179" s="11" t="s">
        <v>353</v>
      </c>
      <c r="D179" s="11" t="s">
        <v>354</v>
      </c>
      <c r="E179" s="23" t="str">
        <f>IFERROR(__xludf.DUMMYFUNCTION("REGEXEXTRACT(TO_TEXT(A179), ""(\d{2}/\d{2}/\d{4})"")"),"20/09/2018")</f>
        <v>20/09/2018</v>
      </c>
      <c r="F179" s="26">
        <f t="shared" si="1"/>
        <v>43363</v>
      </c>
    </row>
    <row r="180">
      <c r="A180" s="10" t="s">
        <v>2934</v>
      </c>
      <c r="B180" s="25" t="s">
        <v>2935</v>
      </c>
      <c r="C180" s="10" t="s">
        <v>355</v>
      </c>
      <c r="D180" s="10" t="s">
        <v>356</v>
      </c>
      <c r="E180" s="23" t="str">
        <f>IFERROR(__xludf.DUMMYFUNCTION("REGEXEXTRACT(TO_TEXT(A180), ""(\d{2}/\d{2}/\d{4})"")"),"22/09/2018")</f>
        <v>22/09/2018</v>
      </c>
      <c r="F180" s="26">
        <f t="shared" si="1"/>
        <v>43365</v>
      </c>
    </row>
    <row r="181">
      <c r="A181" s="11" t="s">
        <v>2936</v>
      </c>
      <c r="B181" s="25" t="s">
        <v>2937</v>
      </c>
      <c r="C181" s="11" t="s">
        <v>357</v>
      </c>
      <c r="D181" s="13" t="s">
        <v>358</v>
      </c>
      <c r="E181" s="23" t="str">
        <f>IFERROR(__xludf.DUMMYFUNCTION("REGEXEXTRACT(TO_TEXT(A181), ""(\d{2}/\d{2}/\d{4})"")"),"25/09/2018")</f>
        <v>25/09/2018</v>
      </c>
      <c r="F181" s="26">
        <f t="shared" si="1"/>
        <v>43368</v>
      </c>
    </row>
    <row r="182">
      <c r="A182" s="10" t="s">
        <v>2938</v>
      </c>
      <c r="B182" s="25" t="s">
        <v>2939</v>
      </c>
      <c r="C182" s="10" t="s">
        <v>359</v>
      </c>
      <c r="D182" s="12" t="s">
        <v>360</v>
      </c>
      <c r="E182" s="23" t="str">
        <f>IFERROR(__xludf.DUMMYFUNCTION("REGEXEXTRACT(TO_TEXT(A182), ""(\d{2}/\d{2}/\d{4})"")"),"27/09/2018")</f>
        <v>27/09/2018</v>
      </c>
      <c r="F182" s="26">
        <f t="shared" si="1"/>
        <v>43370</v>
      </c>
    </row>
    <row r="183">
      <c r="A183" s="11" t="s">
        <v>2940</v>
      </c>
      <c r="B183" s="25" t="s">
        <v>2941</v>
      </c>
      <c r="C183" s="11" t="s">
        <v>361</v>
      </c>
      <c r="D183" s="11" t="s">
        <v>362</v>
      </c>
      <c r="E183" s="23" t="str">
        <f>IFERROR(__xludf.DUMMYFUNCTION("REGEXEXTRACT(TO_TEXT(A183), ""(\d{2}/\d{2}/\d{4})"")"),"29/09/2018")</f>
        <v>29/09/2018</v>
      </c>
      <c r="F183" s="26">
        <f t="shared" si="1"/>
        <v>43372</v>
      </c>
    </row>
    <row r="184">
      <c r="A184" s="10" t="s">
        <v>2942</v>
      </c>
      <c r="B184" s="25" t="s">
        <v>2943</v>
      </c>
      <c r="C184" s="10" t="s">
        <v>363</v>
      </c>
      <c r="D184" s="10" t="s">
        <v>364</v>
      </c>
      <c r="E184" s="23" t="str">
        <f>IFERROR(__xludf.DUMMYFUNCTION("REGEXEXTRACT(TO_TEXT(A184), ""(\d{2}/\d{2}/\d{4})"")"),"02/10/2018")</f>
        <v>02/10/2018</v>
      </c>
      <c r="F184" s="26">
        <f t="shared" si="1"/>
        <v>43375</v>
      </c>
    </row>
    <row r="185">
      <c r="A185" s="11" t="s">
        <v>2944</v>
      </c>
      <c r="B185" s="25" t="s">
        <v>2945</v>
      </c>
      <c r="C185" s="11" t="s">
        <v>365</v>
      </c>
      <c r="D185" s="11" t="s">
        <v>366</v>
      </c>
      <c r="E185" s="23" t="str">
        <f>IFERROR(__xludf.DUMMYFUNCTION("REGEXEXTRACT(TO_TEXT(A185), ""(\d{2}/\d{2}/\d{4})"")"),"04/10/2018")</f>
        <v>04/10/2018</v>
      </c>
      <c r="F185" s="26">
        <f t="shared" si="1"/>
        <v>43377</v>
      </c>
    </row>
    <row r="186">
      <c r="A186" s="10" t="s">
        <v>2946</v>
      </c>
      <c r="B186" s="25" t="s">
        <v>2947</v>
      </c>
      <c r="C186" s="10" t="s">
        <v>367</v>
      </c>
      <c r="D186" s="10" t="s">
        <v>368</v>
      </c>
      <c r="E186" s="23" t="str">
        <f>IFERROR(__xludf.DUMMYFUNCTION("REGEXEXTRACT(TO_TEXT(A186), ""(\d{2}/\d{2}/\d{4})"")"),"06/10/2018")</f>
        <v>06/10/2018</v>
      </c>
      <c r="F186" s="26">
        <f t="shared" si="1"/>
        <v>43379</v>
      </c>
    </row>
    <row r="187">
      <c r="A187" s="11" t="s">
        <v>2948</v>
      </c>
      <c r="B187" s="25" t="s">
        <v>2949</v>
      </c>
      <c r="C187" s="11" t="s">
        <v>369</v>
      </c>
      <c r="D187" s="11" t="s">
        <v>370</v>
      </c>
      <c r="E187" s="23" t="str">
        <f>IFERROR(__xludf.DUMMYFUNCTION("REGEXEXTRACT(TO_TEXT(A187), ""(\d{2}/\d{2}/\d{4})"")"),"09/10/2018")</f>
        <v>09/10/2018</v>
      </c>
      <c r="F187" s="26">
        <f t="shared" si="1"/>
        <v>43382</v>
      </c>
    </row>
    <row r="188">
      <c r="A188" s="10" t="s">
        <v>2950</v>
      </c>
      <c r="B188" s="25" t="s">
        <v>2951</v>
      </c>
      <c r="C188" s="10" t="s">
        <v>371</v>
      </c>
      <c r="D188" s="10" t="s">
        <v>372</v>
      </c>
      <c r="E188" s="23" t="str">
        <f>IFERROR(__xludf.DUMMYFUNCTION("REGEXEXTRACT(TO_TEXT(A188), ""(\d{2}/\d{2}/\d{4})"")"),"11/10/2018")</f>
        <v>11/10/2018</v>
      </c>
      <c r="F188" s="26">
        <f t="shared" si="1"/>
        <v>43384</v>
      </c>
    </row>
    <row r="189">
      <c r="A189" s="11" t="s">
        <v>2952</v>
      </c>
      <c r="B189" s="25" t="s">
        <v>2953</v>
      </c>
      <c r="C189" s="11" t="s">
        <v>373</v>
      </c>
      <c r="D189" s="11" t="s">
        <v>374</v>
      </c>
      <c r="E189" s="23" t="str">
        <f>IFERROR(__xludf.DUMMYFUNCTION("REGEXEXTRACT(TO_TEXT(A189), ""(\d{2}/\d{2}/\d{4})"")"),"13/10/2018")</f>
        <v>13/10/2018</v>
      </c>
      <c r="F189" s="26">
        <f t="shared" si="1"/>
        <v>43386</v>
      </c>
    </row>
    <row r="190">
      <c r="A190" s="10" t="s">
        <v>2954</v>
      </c>
      <c r="B190" s="25" t="s">
        <v>2955</v>
      </c>
      <c r="C190" s="10" t="s">
        <v>375</v>
      </c>
      <c r="D190" s="12" t="s">
        <v>376</v>
      </c>
      <c r="E190" s="23" t="str">
        <f>IFERROR(__xludf.DUMMYFUNCTION("REGEXEXTRACT(TO_TEXT(A190), ""(\d{2}/\d{2}/\d{4})"")"),"16/10/2018")</f>
        <v>16/10/2018</v>
      </c>
      <c r="F190" s="26">
        <f t="shared" si="1"/>
        <v>43389</v>
      </c>
    </row>
    <row r="191">
      <c r="A191" s="11" t="s">
        <v>2956</v>
      </c>
      <c r="B191" s="25" t="s">
        <v>2957</v>
      </c>
      <c r="C191" s="11" t="s">
        <v>377</v>
      </c>
      <c r="D191" s="11" t="s">
        <v>378</v>
      </c>
      <c r="E191" s="23" t="str">
        <f>IFERROR(__xludf.DUMMYFUNCTION("REGEXEXTRACT(TO_TEXT(A191), ""(\d{2}/\d{2}/\d{4})"")"),"18/10/2018")</f>
        <v>18/10/2018</v>
      </c>
      <c r="F191" s="26">
        <f t="shared" si="1"/>
        <v>43391</v>
      </c>
    </row>
    <row r="192">
      <c r="A192" s="10" t="s">
        <v>2958</v>
      </c>
      <c r="B192" s="25" t="s">
        <v>2959</v>
      </c>
      <c r="C192" s="10" t="s">
        <v>379</v>
      </c>
      <c r="D192" s="10" t="s">
        <v>380</v>
      </c>
      <c r="E192" s="23" t="str">
        <f>IFERROR(__xludf.DUMMYFUNCTION("REGEXEXTRACT(TO_TEXT(A192), ""(\d{2}/\d{2}/\d{4})"")"),"20/10/2018")</f>
        <v>20/10/2018</v>
      </c>
      <c r="F192" s="26">
        <f t="shared" si="1"/>
        <v>43393</v>
      </c>
    </row>
    <row r="193">
      <c r="A193" s="11" t="s">
        <v>2960</v>
      </c>
      <c r="B193" s="25" t="s">
        <v>2961</v>
      </c>
      <c r="C193" s="11" t="s">
        <v>381</v>
      </c>
      <c r="D193" s="11" t="s">
        <v>382</v>
      </c>
      <c r="E193" s="23" t="str">
        <f>IFERROR(__xludf.DUMMYFUNCTION("REGEXEXTRACT(TO_TEXT(A193), ""(\d{2}/\d{2}/\d{4})"")"),"23/10/2018")</f>
        <v>23/10/2018</v>
      </c>
      <c r="F193" s="26">
        <f t="shared" si="1"/>
        <v>43396</v>
      </c>
    </row>
    <row r="194">
      <c r="A194" s="10" t="s">
        <v>2962</v>
      </c>
      <c r="B194" s="25" t="s">
        <v>2963</v>
      </c>
      <c r="C194" s="10" t="s">
        <v>383</v>
      </c>
      <c r="D194" s="10" t="s">
        <v>384</v>
      </c>
      <c r="E194" s="23" t="str">
        <f>IFERROR(__xludf.DUMMYFUNCTION("REGEXEXTRACT(TO_TEXT(A194), ""(\d{2}/\d{2}/\d{4})"")"),"25/10/2018")</f>
        <v>25/10/2018</v>
      </c>
      <c r="F194" s="26">
        <f t="shared" si="1"/>
        <v>43398</v>
      </c>
    </row>
    <row r="195">
      <c r="A195" s="11" t="s">
        <v>2964</v>
      </c>
      <c r="B195" s="25" t="s">
        <v>2965</v>
      </c>
      <c r="C195" s="13" t="s">
        <v>385</v>
      </c>
      <c r="D195" s="11" t="s">
        <v>386</v>
      </c>
      <c r="E195" s="23" t="str">
        <f>IFERROR(__xludf.DUMMYFUNCTION("REGEXEXTRACT(TO_TEXT(A195), ""(\d{2}/\d{2}/\d{4})"")"),"27/10/2018")</f>
        <v>27/10/2018</v>
      </c>
      <c r="F195" s="26">
        <f t="shared" si="1"/>
        <v>43400</v>
      </c>
    </row>
    <row r="196">
      <c r="A196" s="10" t="s">
        <v>2966</v>
      </c>
      <c r="B196" s="25" t="s">
        <v>2967</v>
      </c>
      <c r="C196" s="10" t="s">
        <v>387</v>
      </c>
      <c r="D196" s="10" t="s">
        <v>388</v>
      </c>
      <c r="E196" s="23" t="str">
        <f>IFERROR(__xludf.DUMMYFUNCTION("REGEXEXTRACT(TO_TEXT(A196), ""(\d{2}/\d{2}/\d{4})"")"),"30/10/2018")</f>
        <v>30/10/2018</v>
      </c>
      <c r="F196" s="26">
        <f t="shared" si="1"/>
        <v>43403</v>
      </c>
    </row>
    <row r="197">
      <c r="A197" s="11" t="s">
        <v>2968</v>
      </c>
      <c r="B197" s="25" t="s">
        <v>2969</v>
      </c>
      <c r="C197" s="11" t="s">
        <v>389</v>
      </c>
      <c r="D197" s="11" t="s">
        <v>390</v>
      </c>
      <c r="E197" s="23" t="str">
        <f>IFERROR(__xludf.DUMMYFUNCTION("REGEXEXTRACT(TO_TEXT(A197), ""(\d{2}/\d{2}/\d{4})"")"),"01/11/2018")</f>
        <v>01/11/2018</v>
      </c>
      <c r="F197" s="26">
        <f t="shared" si="1"/>
        <v>43405</v>
      </c>
    </row>
    <row r="198">
      <c r="A198" s="10" t="s">
        <v>2970</v>
      </c>
      <c r="B198" s="25" t="s">
        <v>2971</v>
      </c>
      <c r="C198" s="10" t="s">
        <v>391</v>
      </c>
      <c r="D198" s="10" t="s">
        <v>392</v>
      </c>
      <c r="E198" s="23" t="str">
        <f>IFERROR(__xludf.DUMMYFUNCTION("REGEXEXTRACT(TO_TEXT(A198), ""(\d{2}/\d{2}/\d{4})"")"),"03/11/2018")</f>
        <v>03/11/2018</v>
      </c>
      <c r="F198" s="26">
        <f t="shared" si="1"/>
        <v>43407</v>
      </c>
    </row>
    <row r="199">
      <c r="A199" s="11" t="s">
        <v>2972</v>
      </c>
      <c r="B199" s="25" t="s">
        <v>2973</v>
      </c>
      <c r="C199" s="11" t="s">
        <v>393</v>
      </c>
      <c r="D199" s="11" t="s">
        <v>394</v>
      </c>
      <c r="E199" s="23" t="str">
        <f>IFERROR(__xludf.DUMMYFUNCTION("REGEXEXTRACT(TO_TEXT(A199), ""(\d{2}/\d{2}/\d{4})"")"),"06/11/2018")</f>
        <v>06/11/2018</v>
      </c>
      <c r="F199" s="26">
        <f t="shared" si="1"/>
        <v>43410</v>
      </c>
    </row>
    <row r="200">
      <c r="A200" s="10" t="s">
        <v>2974</v>
      </c>
      <c r="B200" s="25" t="s">
        <v>2975</v>
      </c>
      <c r="C200" s="10" t="s">
        <v>395</v>
      </c>
      <c r="D200" s="12" t="s">
        <v>396</v>
      </c>
      <c r="E200" s="23" t="str">
        <f>IFERROR(__xludf.DUMMYFUNCTION("REGEXEXTRACT(TO_TEXT(A200), ""(\d{2}/\d{2}/\d{4})"")"),"08/11/2018")</f>
        <v>08/11/2018</v>
      </c>
      <c r="F200" s="26">
        <f t="shared" si="1"/>
        <v>43412</v>
      </c>
    </row>
    <row r="201">
      <c r="A201" s="11" t="s">
        <v>2976</v>
      </c>
      <c r="B201" s="25" t="s">
        <v>2977</v>
      </c>
      <c r="C201" s="11" t="s">
        <v>397</v>
      </c>
      <c r="D201" s="11" t="s">
        <v>398</v>
      </c>
      <c r="E201" s="23" t="str">
        <f>IFERROR(__xludf.DUMMYFUNCTION("REGEXEXTRACT(TO_TEXT(A201), ""(\d{2}/\d{2}/\d{4})"")"),"10/11/2018")</f>
        <v>10/11/2018</v>
      </c>
      <c r="F201" s="26">
        <f t="shared" si="1"/>
        <v>43414</v>
      </c>
    </row>
    <row r="202">
      <c r="A202" s="10" t="s">
        <v>2978</v>
      </c>
      <c r="B202" s="25" t="s">
        <v>2979</v>
      </c>
      <c r="C202" s="12" t="s">
        <v>399</v>
      </c>
      <c r="D202" s="10" t="s">
        <v>400</v>
      </c>
      <c r="E202" s="23" t="str">
        <f>IFERROR(__xludf.DUMMYFUNCTION("REGEXEXTRACT(TO_TEXT(A202), ""(\d{2}/\d{2}/\d{4})"")"),"13/11/2018")</f>
        <v>13/11/2018</v>
      </c>
      <c r="F202" s="26">
        <f t="shared" si="1"/>
        <v>43417</v>
      </c>
    </row>
    <row r="203">
      <c r="A203" s="11" t="s">
        <v>2980</v>
      </c>
      <c r="B203" s="25" t="s">
        <v>2981</v>
      </c>
      <c r="C203" s="11" t="s">
        <v>401</v>
      </c>
      <c r="D203" s="11" t="s">
        <v>402</v>
      </c>
      <c r="E203" s="23" t="str">
        <f>IFERROR(__xludf.DUMMYFUNCTION("REGEXEXTRACT(TO_TEXT(A203), ""(\d{2}/\d{2}/\d{4})"")"),"15/11/2018")</f>
        <v>15/11/2018</v>
      </c>
      <c r="F203" s="26">
        <f t="shared" si="1"/>
        <v>43419</v>
      </c>
    </row>
    <row r="204">
      <c r="A204" s="10" t="s">
        <v>2982</v>
      </c>
      <c r="B204" s="25" t="s">
        <v>2983</v>
      </c>
      <c r="C204" s="10" t="s">
        <v>403</v>
      </c>
      <c r="D204" s="10" t="s">
        <v>404</v>
      </c>
      <c r="E204" s="23" t="str">
        <f>IFERROR(__xludf.DUMMYFUNCTION("REGEXEXTRACT(TO_TEXT(A204), ""(\d{2}/\d{2}/\d{4})"")"),"17/11/2018")</f>
        <v>17/11/2018</v>
      </c>
      <c r="F204" s="26">
        <f t="shared" si="1"/>
        <v>43421</v>
      </c>
    </row>
    <row r="205">
      <c r="A205" s="11" t="s">
        <v>2984</v>
      </c>
      <c r="B205" s="25" t="s">
        <v>2985</v>
      </c>
      <c r="C205" s="11" t="s">
        <v>405</v>
      </c>
      <c r="D205" s="11" t="s">
        <v>406</v>
      </c>
      <c r="E205" s="23" t="str">
        <f>IFERROR(__xludf.DUMMYFUNCTION("REGEXEXTRACT(TO_TEXT(A205), ""(\d{2}/\d{2}/\d{4})"")"),"20/11/2018")</f>
        <v>20/11/2018</v>
      </c>
      <c r="F205" s="26">
        <f t="shared" si="1"/>
        <v>43424</v>
      </c>
    </row>
    <row r="206">
      <c r="A206" s="10" t="s">
        <v>2986</v>
      </c>
      <c r="B206" s="25" t="s">
        <v>2987</v>
      </c>
      <c r="C206" s="10" t="s">
        <v>407</v>
      </c>
      <c r="D206" s="12" t="s">
        <v>408</v>
      </c>
      <c r="E206" s="23" t="str">
        <f>IFERROR(__xludf.DUMMYFUNCTION("REGEXEXTRACT(TO_TEXT(A206), ""(\d{2}/\d{2}/\d{4})"")"),"22/11/2018")</f>
        <v>22/11/2018</v>
      </c>
      <c r="F206" s="26">
        <f t="shared" si="1"/>
        <v>43426</v>
      </c>
    </row>
    <row r="207">
      <c r="A207" s="11" t="s">
        <v>2988</v>
      </c>
      <c r="B207" s="25" t="s">
        <v>2989</v>
      </c>
      <c r="C207" s="11" t="s">
        <v>409</v>
      </c>
      <c r="D207" s="11" t="s">
        <v>410</v>
      </c>
      <c r="E207" s="23" t="str">
        <f>IFERROR(__xludf.DUMMYFUNCTION("REGEXEXTRACT(TO_TEXT(A207), ""(\d{2}/\d{2}/\d{4})"")"),"24/11/2018")</f>
        <v>24/11/2018</v>
      </c>
      <c r="F207" s="26">
        <f t="shared" si="1"/>
        <v>43428</v>
      </c>
    </row>
    <row r="208">
      <c r="A208" s="10" t="s">
        <v>2990</v>
      </c>
      <c r="B208" s="25" t="s">
        <v>2991</v>
      </c>
      <c r="C208" s="10" t="s">
        <v>411</v>
      </c>
      <c r="D208" s="12" t="s">
        <v>412</v>
      </c>
      <c r="E208" s="23" t="str">
        <f>IFERROR(__xludf.DUMMYFUNCTION("REGEXEXTRACT(TO_TEXT(A208), ""(\d{2}/\d{2}/\d{4})"")"),"27/11/2018")</f>
        <v>27/11/2018</v>
      </c>
      <c r="F208" s="26">
        <f t="shared" si="1"/>
        <v>43431</v>
      </c>
    </row>
    <row r="209">
      <c r="A209" s="11" t="s">
        <v>2992</v>
      </c>
      <c r="B209" s="25" t="s">
        <v>2993</v>
      </c>
      <c r="C209" s="11" t="s">
        <v>413</v>
      </c>
      <c r="D209" s="11" t="s">
        <v>414</v>
      </c>
      <c r="E209" s="23" t="str">
        <f>IFERROR(__xludf.DUMMYFUNCTION("REGEXEXTRACT(TO_TEXT(A209), ""(\d{2}/\d{2}/\d{4})"")"),"29/11/2018")</f>
        <v>29/11/2018</v>
      </c>
      <c r="F209" s="26">
        <f t="shared" si="1"/>
        <v>43433</v>
      </c>
    </row>
    <row r="210">
      <c r="A210" s="10" t="s">
        <v>2994</v>
      </c>
      <c r="B210" s="25" t="s">
        <v>2995</v>
      </c>
      <c r="C210" s="10" t="s">
        <v>415</v>
      </c>
      <c r="D210" s="10" t="s">
        <v>416</v>
      </c>
      <c r="E210" s="23" t="str">
        <f>IFERROR(__xludf.DUMMYFUNCTION("REGEXEXTRACT(TO_TEXT(A210), ""(\d{2}/\d{2}/\d{4})"")"),"01/12/2018")</f>
        <v>01/12/2018</v>
      </c>
      <c r="F210" s="26">
        <f t="shared" si="1"/>
        <v>43435</v>
      </c>
    </row>
    <row r="211">
      <c r="A211" s="11" t="s">
        <v>2996</v>
      </c>
      <c r="B211" s="25" t="s">
        <v>2997</v>
      </c>
      <c r="C211" s="11" t="s">
        <v>417</v>
      </c>
      <c r="D211" s="11" t="s">
        <v>418</v>
      </c>
      <c r="E211" s="23" t="str">
        <f>IFERROR(__xludf.DUMMYFUNCTION("REGEXEXTRACT(TO_TEXT(A211), ""(\d{2}/\d{2}/\d{4})"")"),"04/12/2018")</f>
        <v>04/12/2018</v>
      </c>
      <c r="F211" s="26">
        <f t="shared" si="1"/>
        <v>43438</v>
      </c>
    </row>
    <row r="212">
      <c r="A212" s="10" t="s">
        <v>2998</v>
      </c>
      <c r="B212" s="25" t="s">
        <v>2999</v>
      </c>
      <c r="C212" s="10" t="s">
        <v>419</v>
      </c>
      <c r="D212" s="10" t="s">
        <v>420</v>
      </c>
      <c r="E212" s="23" t="str">
        <f>IFERROR(__xludf.DUMMYFUNCTION("REGEXEXTRACT(TO_TEXT(A212), ""(\d{2}/\d{2}/\d{4})"")"),"06/12/2018")</f>
        <v>06/12/2018</v>
      </c>
      <c r="F212" s="26">
        <f t="shared" si="1"/>
        <v>43440</v>
      </c>
    </row>
    <row r="213">
      <c r="A213" s="11" t="s">
        <v>3000</v>
      </c>
      <c r="B213" s="25" t="s">
        <v>3001</v>
      </c>
      <c r="C213" s="11" t="s">
        <v>421</v>
      </c>
      <c r="D213" s="11" t="s">
        <v>422</v>
      </c>
      <c r="E213" s="23" t="str">
        <f>IFERROR(__xludf.DUMMYFUNCTION("REGEXEXTRACT(TO_TEXT(A213), ""(\d{2}/\d{2}/\d{4})"")"),"08/12/2018")</f>
        <v>08/12/2018</v>
      </c>
      <c r="F213" s="26">
        <f t="shared" si="1"/>
        <v>43442</v>
      </c>
    </row>
    <row r="214">
      <c r="A214" s="10" t="s">
        <v>3002</v>
      </c>
      <c r="B214" s="25" t="s">
        <v>3003</v>
      </c>
      <c r="C214" s="10" t="s">
        <v>423</v>
      </c>
      <c r="D214" s="10" t="s">
        <v>424</v>
      </c>
      <c r="E214" s="23" t="str">
        <f>IFERROR(__xludf.DUMMYFUNCTION("REGEXEXTRACT(TO_TEXT(A214), ""(\d{2}/\d{2}/\d{4})"")"),"11/12/2018")</f>
        <v>11/12/2018</v>
      </c>
      <c r="F214" s="26">
        <f t="shared" si="1"/>
        <v>43445</v>
      </c>
    </row>
    <row r="215">
      <c r="A215" s="11" t="s">
        <v>3004</v>
      </c>
      <c r="B215" s="25" t="s">
        <v>3005</v>
      </c>
      <c r="C215" s="11" t="s">
        <v>425</v>
      </c>
      <c r="D215" s="11" t="s">
        <v>426</v>
      </c>
      <c r="E215" s="23" t="str">
        <f>IFERROR(__xludf.DUMMYFUNCTION("REGEXEXTRACT(TO_TEXT(A215), ""(\d{2}/\d{2}/\d{4})"")"),"13/12/2018")</f>
        <v>13/12/2018</v>
      </c>
      <c r="F215" s="26">
        <f t="shared" si="1"/>
        <v>43447</v>
      </c>
    </row>
    <row r="216">
      <c r="A216" s="10" t="s">
        <v>3006</v>
      </c>
      <c r="B216" s="25" t="s">
        <v>3007</v>
      </c>
      <c r="C216" s="10" t="s">
        <v>427</v>
      </c>
      <c r="D216" s="12" t="s">
        <v>428</v>
      </c>
      <c r="E216" s="23" t="str">
        <f>IFERROR(__xludf.DUMMYFUNCTION("REGEXEXTRACT(TO_TEXT(A216), ""(\d{2}/\d{2}/\d{4})"")"),"15/12/2018")</f>
        <v>15/12/2018</v>
      </c>
      <c r="F216" s="26">
        <f t="shared" si="1"/>
        <v>43449</v>
      </c>
    </row>
    <row r="217">
      <c r="A217" s="11" t="s">
        <v>3008</v>
      </c>
      <c r="B217" s="25" t="s">
        <v>3009</v>
      </c>
      <c r="C217" s="11" t="s">
        <v>429</v>
      </c>
      <c r="D217" s="11" t="s">
        <v>430</v>
      </c>
      <c r="E217" s="23" t="str">
        <f>IFERROR(__xludf.DUMMYFUNCTION("REGEXEXTRACT(TO_TEXT(A217), ""(\d{2}/\d{2}/\d{4})"")"),"18/12/2018")</f>
        <v>18/12/2018</v>
      </c>
      <c r="F217" s="26">
        <f t="shared" si="1"/>
        <v>43452</v>
      </c>
    </row>
    <row r="218">
      <c r="A218" s="10" t="s">
        <v>3010</v>
      </c>
      <c r="B218" s="25" t="s">
        <v>3011</v>
      </c>
      <c r="C218" s="10" t="s">
        <v>431</v>
      </c>
      <c r="D218" s="10" t="s">
        <v>432</v>
      </c>
      <c r="E218" s="23" t="str">
        <f>IFERROR(__xludf.DUMMYFUNCTION("REGEXEXTRACT(TO_TEXT(A218), ""(\d{2}/\d{2}/\d{4})"")"),"20/12/2018")</f>
        <v>20/12/2018</v>
      </c>
      <c r="F218" s="26">
        <f t="shared" si="1"/>
        <v>43454</v>
      </c>
    </row>
    <row r="219">
      <c r="A219" s="11" t="s">
        <v>3012</v>
      </c>
      <c r="B219" s="25" t="s">
        <v>3013</v>
      </c>
      <c r="C219" s="11" t="s">
        <v>433</v>
      </c>
      <c r="D219" s="11" t="s">
        <v>434</v>
      </c>
      <c r="E219" s="23" t="str">
        <f>IFERROR(__xludf.DUMMYFUNCTION("REGEXEXTRACT(TO_TEXT(A219), ""(\d{2}/\d{2}/\d{4})"")"),"22/12/2018")</f>
        <v>22/12/2018</v>
      </c>
      <c r="F219" s="26">
        <f t="shared" si="1"/>
        <v>43456</v>
      </c>
    </row>
    <row r="220">
      <c r="A220" s="10" t="s">
        <v>3014</v>
      </c>
      <c r="B220" s="25" t="s">
        <v>3015</v>
      </c>
      <c r="C220" s="10" t="s">
        <v>435</v>
      </c>
      <c r="D220" s="12" t="s">
        <v>436</v>
      </c>
      <c r="E220" s="23" t="str">
        <f>IFERROR(__xludf.DUMMYFUNCTION("REGEXEXTRACT(TO_TEXT(A220), ""(\d{2}/\d{2}/\d{4})"")"),"25/12/2018")</f>
        <v>25/12/2018</v>
      </c>
      <c r="F220" s="26">
        <f t="shared" si="1"/>
        <v>43459</v>
      </c>
    </row>
    <row r="221">
      <c r="A221" s="11" t="s">
        <v>3016</v>
      </c>
      <c r="B221" s="25" t="s">
        <v>3017</v>
      </c>
      <c r="C221" s="11" t="s">
        <v>437</v>
      </c>
      <c r="D221" s="11" t="s">
        <v>438</v>
      </c>
      <c r="E221" s="23" t="str">
        <f>IFERROR(__xludf.DUMMYFUNCTION("REGEXEXTRACT(TO_TEXT(A221), ""(\d{2}/\d{2}/\d{4})"")"),"27/12/2018")</f>
        <v>27/12/2018</v>
      </c>
      <c r="F221" s="26">
        <f t="shared" si="1"/>
        <v>43461</v>
      </c>
    </row>
    <row r="222">
      <c r="A222" s="10" t="s">
        <v>3018</v>
      </c>
      <c r="B222" s="25" t="s">
        <v>3019</v>
      </c>
      <c r="C222" s="10" t="s">
        <v>439</v>
      </c>
      <c r="D222" s="10" t="s">
        <v>440</v>
      </c>
      <c r="E222" s="23" t="str">
        <f>IFERROR(__xludf.DUMMYFUNCTION("REGEXEXTRACT(TO_TEXT(A222), ""(\d{2}/\d{2}/\d{4})"")"),"29/12/2018")</f>
        <v>29/12/2018</v>
      </c>
      <c r="F222" s="26">
        <f t="shared" si="1"/>
        <v>43463</v>
      </c>
    </row>
    <row r="223">
      <c r="A223" s="11" t="s">
        <v>3020</v>
      </c>
      <c r="B223" s="25" t="s">
        <v>3021</v>
      </c>
      <c r="C223" s="11" t="s">
        <v>441</v>
      </c>
      <c r="D223" s="13" t="s">
        <v>442</v>
      </c>
      <c r="E223" s="23" t="str">
        <f>IFERROR(__xludf.DUMMYFUNCTION("REGEXEXTRACT(TO_TEXT(A223), ""(\d{2}/\d{2}/\d{4})"")"),"01/01/2019")</f>
        <v>01/01/2019</v>
      </c>
      <c r="F223" s="26">
        <f t="shared" si="1"/>
        <v>43466</v>
      </c>
    </row>
    <row r="224">
      <c r="A224" s="10" t="s">
        <v>3022</v>
      </c>
      <c r="B224" s="25" t="s">
        <v>3023</v>
      </c>
      <c r="C224" s="10" t="s">
        <v>443</v>
      </c>
      <c r="D224" s="10" t="s">
        <v>444</v>
      </c>
      <c r="E224" s="23" t="str">
        <f>IFERROR(__xludf.DUMMYFUNCTION("REGEXEXTRACT(TO_TEXT(A224), ""(\d{2}/\d{2}/\d{4})"")"),"03/01/2019")</f>
        <v>03/01/2019</v>
      </c>
      <c r="F224" s="26">
        <f t="shared" si="1"/>
        <v>43468</v>
      </c>
    </row>
    <row r="225">
      <c r="A225" s="11" t="s">
        <v>3024</v>
      </c>
      <c r="B225" s="25" t="s">
        <v>3025</v>
      </c>
      <c r="C225" s="11" t="s">
        <v>445</v>
      </c>
      <c r="D225" s="13" t="s">
        <v>446</v>
      </c>
      <c r="E225" s="23" t="str">
        <f>IFERROR(__xludf.DUMMYFUNCTION("REGEXEXTRACT(TO_TEXT(A225), ""(\d{2}/\d{2}/\d{4})"")"),"05/01/2019")</f>
        <v>05/01/2019</v>
      </c>
      <c r="F225" s="26">
        <f t="shared" si="1"/>
        <v>43470</v>
      </c>
    </row>
    <row r="226">
      <c r="A226" s="10" t="s">
        <v>3026</v>
      </c>
      <c r="B226" s="25" t="s">
        <v>3027</v>
      </c>
      <c r="C226" s="10" t="s">
        <v>447</v>
      </c>
      <c r="D226" s="10" t="s">
        <v>448</v>
      </c>
      <c r="E226" s="23" t="str">
        <f>IFERROR(__xludf.DUMMYFUNCTION("REGEXEXTRACT(TO_TEXT(A226), ""(\d{2}/\d{2}/\d{4})"")"),"08/01/2019")</f>
        <v>08/01/2019</v>
      </c>
      <c r="F226" s="26">
        <f t="shared" si="1"/>
        <v>43473</v>
      </c>
    </row>
    <row r="227">
      <c r="A227" s="11" t="s">
        <v>3028</v>
      </c>
      <c r="B227" s="25" t="s">
        <v>3029</v>
      </c>
      <c r="C227" s="11" t="s">
        <v>449</v>
      </c>
      <c r="D227" s="13" t="s">
        <v>450</v>
      </c>
      <c r="E227" s="23" t="str">
        <f>IFERROR(__xludf.DUMMYFUNCTION("REGEXEXTRACT(TO_TEXT(A227), ""(\d{2}/\d{2}/\d{4})"")"),"10/01/2019")</f>
        <v>10/01/2019</v>
      </c>
      <c r="F227" s="26">
        <f t="shared" si="1"/>
        <v>43475</v>
      </c>
    </row>
    <row r="228">
      <c r="A228" s="10" t="s">
        <v>3030</v>
      </c>
      <c r="B228" s="25" t="s">
        <v>3031</v>
      </c>
      <c r="C228" s="10" t="s">
        <v>451</v>
      </c>
      <c r="D228" s="10" t="s">
        <v>452</v>
      </c>
      <c r="E228" s="23" t="str">
        <f>IFERROR(__xludf.DUMMYFUNCTION("REGEXEXTRACT(TO_TEXT(A228), ""(\d{2}/\d{2}/\d{4})"")"),"12/01/2019")</f>
        <v>12/01/2019</v>
      </c>
      <c r="F228" s="26">
        <f t="shared" si="1"/>
        <v>43477</v>
      </c>
    </row>
    <row r="229">
      <c r="A229" s="11" t="s">
        <v>3032</v>
      </c>
      <c r="B229" s="25" t="s">
        <v>3033</v>
      </c>
      <c r="C229" s="13" t="s">
        <v>453</v>
      </c>
      <c r="D229" s="11" t="s">
        <v>454</v>
      </c>
      <c r="E229" s="23" t="str">
        <f>IFERROR(__xludf.DUMMYFUNCTION("REGEXEXTRACT(TO_TEXT(A229), ""(\d{2}/\d{2}/\d{4})"")"),"15/01/2019")</f>
        <v>15/01/2019</v>
      </c>
      <c r="F229" s="26">
        <f t="shared" si="1"/>
        <v>43480</v>
      </c>
    </row>
    <row r="230">
      <c r="A230" s="10" t="s">
        <v>3034</v>
      </c>
      <c r="B230" s="25" t="s">
        <v>3035</v>
      </c>
      <c r="C230" s="10" t="s">
        <v>455</v>
      </c>
      <c r="D230" s="10" t="s">
        <v>456</v>
      </c>
      <c r="E230" s="23" t="str">
        <f>IFERROR(__xludf.DUMMYFUNCTION("REGEXEXTRACT(TO_TEXT(A230), ""(\d{2}/\d{2}/\d{4})"")"),"17/01/2019")</f>
        <v>17/01/2019</v>
      </c>
      <c r="F230" s="26">
        <f t="shared" si="1"/>
        <v>43482</v>
      </c>
    </row>
    <row r="231">
      <c r="A231" s="11" t="s">
        <v>3036</v>
      </c>
      <c r="B231" s="25" t="s">
        <v>3037</v>
      </c>
      <c r="C231" s="11" t="s">
        <v>457</v>
      </c>
      <c r="D231" s="11" t="s">
        <v>458</v>
      </c>
      <c r="E231" s="23" t="str">
        <f>IFERROR(__xludf.DUMMYFUNCTION("REGEXEXTRACT(TO_TEXT(A231), ""(\d{2}/\d{2}/\d{4})"")"),"19/01/2019")</f>
        <v>19/01/2019</v>
      </c>
      <c r="F231" s="26">
        <f t="shared" si="1"/>
        <v>43484</v>
      </c>
    </row>
    <row r="232">
      <c r="A232" s="10" t="s">
        <v>3038</v>
      </c>
      <c r="B232" s="25" t="s">
        <v>3039</v>
      </c>
      <c r="C232" s="10" t="s">
        <v>459</v>
      </c>
      <c r="D232" s="10" t="s">
        <v>460</v>
      </c>
      <c r="E232" s="23" t="str">
        <f>IFERROR(__xludf.DUMMYFUNCTION("REGEXEXTRACT(TO_TEXT(A232), ""(\d{2}/\d{2}/\d{4})"")"),"22/01/2019")</f>
        <v>22/01/2019</v>
      </c>
      <c r="F232" s="26">
        <f t="shared" si="1"/>
        <v>43487</v>
      </c>
    </row>
    <row r="233">
      <c r="A233" s="11" t="s">
        <v>3040</v>
      </c>
      <c r="B233" s="25" t="s">
        <v>3041</v>
      </c>
      <c r="C233" s="11" t="s">
        <v>461</v>
      </c>
      <c r="D233" s="11" t="s">
        <v>462</v>
      </c>
      <c r="E233" s="23" t="str">
        <f>IFERROR(__xludf.DUMMYFUNCTION("REGEXEXTRACT(TO_TEXT(A233), ""(\d{2}/\d{2}/\d{4})"")"),"24/01/2019")</f>
        <v>24/01/2019</v>
      </c>
      <c r="F233" s="26">
        <f t="shared" si="1"/>
        <v>43489</v>
      </c>
    </row>
    <row r="234">
      <c r="A234" s="10" t="s">
        <v>3042</v>
      </c>
      <c r="B234" s="25" t="s">
        <v>3043</v>
      </c>
      <c r="C234" s="10" t="s">
        <v>463</v>
      </c>
      <c r="D234" s="10" t="s">
        <v>464</v>
      </c>
      <c r="E234" s="23" t="str">
        <f>IFERROR(__xludf.DUMMYFUNCTION("REGEXEXTRACT(TO_TEXT(A234), ""(\d{2}/\d{2}/\d{4})"")"),"26/01/2019")</f>
        <v>26/01/2019</v>
      </c>
      <c r="F234" s="26">
        <f t="shared" si="1"/>
        <v>43491</v>
      </c>
    </row>
    <row r="235">
      <c r="A235" s="11" t="s">
        <v>3044</v>
      </c>
      <c r="B235" s="25" t="s">
        <v>3045</v>
      </c>
      <c r="C235" s="11" t="s">
        <v>465</v>
      </c>
      <c r="D235" s="11" t="s">
        <v>466</v>
      </c>
      <c r="E235" s="23" t="str">
        <f>IFERROR(__xludf.DUMMYFUNCTION("REGEXEXTRACT(TO_TEXT(A235), ""(\d{2}/\d{2}/\d{4})"")"),"29/01/2019")</f>
        <v>29/01/2019</v>
      </c>
      <c r="F235" s="26">
        <f t="shared" si="1"/>
        <v>43494</v>
      </c>
    </row>
    <row r="236">
      <c r="A236" s="10" t="s">
        <v>3046</v>
      </c>
      <c r="B236" s="25" t="s">
        <v>3047</v>
      </c>
      <c r="C236" s="10" t="s">
        <v>467</v>
      </c>
      <c r="D236" s="10" t="s">
        <v>468</v>
      </c>
      <c r="E236" s="23" t="str">
        <f>IFERROR(__xludf.DUMMYFUNCTION("REGEXEXTRACT(TO_TEXT(A236), ""(\d{2}/\d{2}/\d{4})"")"),"31/01/2019")</f>
        <v>31/01/2019</v>
      </c>
      <c r="F236" s="26">
        <f t="shared" si="1"/>
        <v>43496</v>
      </c>
    </row>
    <row r="237">
      <c r="A237" s="11" t="s">
        <v>3048</v>
      </c>
      <c r="B237" s="25" t="s">
        <v>3049</v>
      </c>
      <c r="C237" s="11" t="s">
        <v>469</v>
      </c>
      <c r="D237" s="11" t="s">
        <v>470</v>
      </c>
      <c r="E237" s="23" t="str">
        <f>IFERROR(__xludf.DUMMYFUNCTION("REGEXEXTRACT(TO_TEXT(A237), ""(\d{2}/\d{2}/\d{4})"")"),"02/02/2019")</f>
        <v>02/02/2019</v>
      </c>
      <c r="F237" s="26">
        <f t="shared" si="1"/>
        <v>43498</v>
      </c>
    </row>
    <row r="238">
      <c r="A238" s="10" t="s">
        <v>3050</v>
      </c>
      <c r="B238" s="25" t="s">
        <v>3051</v>
      </c>
      <c r="C238" s="10" t="s">
        <v>471</v>
      </c>
      <c r="D238" s="10" t="s">
        <v>472</v>
      </c>
      <c r="E238" s="23" t="str">
        <f>IFERROR(__xludf.DUMMYFUNCTION("REGEXEXTRACT(TO_TEXT(A238), ""(\d{2}/\d{2}/\d{4})"")"),"07/02/2019")</f>
        <v>07/02/2019</v>
      </c>
      <c r="F238" s="26">
        <f t="shared" si="1"/>
        <v>43503</v>
      </c>
    </row>
    <row r="239">
      <c r="A239" s="11" t="s">
        <v>3052</v>
      </c>
      <c r="B239" s="25" t="s">
        <v>3053</v>
      </c>
      <c r="C239" s="11" t="s">
        <v>473</v>
      </c>
      <c r="D239" s="11" t="s">
        <v>474</v>
      </c>
      <c r="E239" s="23" t="str">
        <f>IFERROR(__xludf.DUMMYFUNCTION("REGEXEXTRACT(TO_TEXT(A239), ""(\d{2}/\d{2}/\d{4})"")"),"09/02/2019")</f>
        <v>09/02/2019</v>
      </c>
      <c r="F239" s="26">
        <f t="shared" si="1"/>
        <v>43505</v>
      </c>
    </row>
    <row r="240">
      <c r="A240" s="10" t="s">
        <v>3054</v>
      </c>
      <c r="B240" s="25" t="s">
        <v>3055</v>
      </c>
      <c r="C240" s="10" t="s">
        <v>475</v>
      </c>
      <c r="D240" s="10" t="s">
        <v>476</v>
      </c>
      <c r="E240" s="23" t="str">
        <f>IFERROR(__xludf.DUMMYFUNCTION("REGEXEXTRACT(TO_TEXT(A240), ""(\d{2}/\d{2}/\d{4})"")"),"12/02/2019")</f>
        <v>12/02/2019</v>
      </c>
      <c r="F240" s="26">
        <f t="shared" si="1"/>
        <v>43508</v>
      </c>
    </row>
    <row r="241">
      <c r="A241" s="11" t="s">
        <v>3056</v>
      </c>
      <c r="B241" s="25" t="s">
        <v>3057</v>
      </c>
      <c r="C241" s="11" t="s">
        <v>477</v>
      </c>
      <c r="D241" s="11" t="s">
        <v>478</v>
      </c>
      <c r="E241" s="23" t="str">
        <f>IFERROR(__xludf.DUMMYFUNCTION("REGEXEXTRACT(TO_TEXT(A241), ""(\d{2}/\d{2}/\d{4})"")"),"14/02/2019")</f>
        <v>14/02/2019</v>
      </c>
      <c r="F241" s="26">
        <f t="shared" si="1"/>
        <v>43510</v>
      </c>
    </row>
    <row r="242">
      <c r="A242" s="10" t="s">
        <v>3058</v>
      </c>
      <c r="B242" s="25" t="s">
        <v>3059</v>
      </c>
      <c r="C242" s="10" t="s">
        <v>479</v>
      </c>
      <c r="D242" s="10" t="s">
        <v>480</v>
      </c>
      <c r="E242" s="23" t="str">
        <f>IFERROR(__xludf.DUMMYFUNCTION("REGEXEXTRACT(TO_TEXT(A242), ""(\d{2}/\d{2}/\d{4})"")"),"16/02/2019")</f>
        <v>16/02/2019</v>
      </c>
      <c r="F242" s="26">
        <f t="shared" si="1"/>
        <v>43512</v>
      </c>
    </row>
    <row r="243">
      <c r="A243" s="11" t="s">
        <v>3060</v>
      </c>
      <c r="B243" s="25" t="s">
        <v>3061</v>
      </c>
      <c r="C243" s="11" t="s">
        <v>481</v>
      </c>
      <c r="D243" s="11" t="s">
        <v>482</v>
      </c>
      <c r="E243" s="23" t="str">
        <f>IFERROR(__xludf.DUMMYFUNCTION("REGEXEXTRACT(TO_TEXT(A243), ""(\d{2}/\d{2}/\d{4})"")"),"19/02/2019")</f>
        <v>19/02/2019</v>
      </c>
      <c r="F243" s="26">
        <f t="shared" si="1"/>
        <v>43515</v>
      </c>
    </row>
    <row r="244">
      <c r="A244" s="10" t="s">
        <v>3062</v>
      </c>
      <c r="B244" s="25" t="s">
        <v>3063</v>
      </c>
      <c r="C244" s="10" t="s">
        <v>483</v>
      </c>
      <c r="D244" s="12" t="s">
        <v>484</v>
      </c>
      <c r="E244" s="23" t="str">
        <f>IFERROR(__xludf.DUMMYFUNCTION("REGEXEXTRACT(TO_TEXT(A244), ""(\d{2}/\d{2}/\d{4})"")"),"21/02/2019")</f>
        <v>21/02/2019</v>
      </c>
      <c r="F244" s="26">
        <f t="shared" si="1"/>
        <v>43517</v>
      </c>
    </row>
    <row r="245">
      <c r="A245" s="11" t="s">
        <v>3064</v>
      </c>
      <c r="B245" s="25" t="s">
        <v>3065</v>
      </c>
      <c r="C245" s="11" t="s">
        <v>485</v>
      </c>
      <c r="D245" s="11" t="s">
        <v>486</v>
      </c>
      <c r="E245" s="23" t="str">
        <f>IFERROR(__xludf.DUMMYFUNCTION("REGEXEXTRACT(TO_TEXT(A245), ""(\d{2}/\d{2}/\d{4})"")"),"23/02/2019")</f>
        <v>23/02/2019</v>
      </c>
      <c r="F245" s="26">
        <f t="shared" si="1"/>
        <v>43519</v>
      </c>
    </row>
    <row r="246">
      <c r="A246" s="10" t="s">
        <v>3066</v>
      </c>
      <c r="B246" s="25" t="s">
        <v>3067</v>
      </c>
      <c r="C246" s="10" t="s">
        <v>487</v>
      </c>
      <c r="D246" s="10" t="s">
        <v>488</v>
      </c>
      <c r="E246" s="23" t="str">
        <f>IFERROR(__xludf.DUMMYFUNCTION("REGEXEXTRACT(TO_TEXT(A246), ""(\d{2}/\d{2}/\d{4})"")"),"26/02/2019")</f>
        <v>26/02/2019</v>
      </c>
      <c r="F246" s="26">
        <f t="shared" si="1"/>
        <v>43522</v>
      </c>
    </row>
    <row r="247">
      <c r="A247" s="11" t="s">
        <v>3068</v>
      </c>
      <c r="B247" s="25" t="s">
        <v>3069</v>
      </c>
      <c r="C247" s="11" t="s">
        <v>489</v>
      </c>
      <c r="D247" s="13" t="s">
        <v>490</v>
      </c>
      <c r="E247" s="23" t="str">
        <f>IFERROR(__xludf.DUMMYFUNCTION("REGEXEXTRACT(TO_TEXT(A247), ""(\d{2}/\d{2}/\d{4})"")"),"28/02/2019")</f>
        <v>28/02/2019</v>
      </c>
      <c r="F247" s="26">
        <f t="shared" si="1"/>
        <v>43524</v>
      </c>
    </row>
    <row r="248">
      <c r="A248" s="10" t="s">
        <v>3070</v>
      </c>
      <c r="B248" s="25" t="s">
        <v>3071</v>
      </c>
      <c r="C248" s="10" t="s">
        <v>491</v>
      </c>
      <c r="D248" s="10" t="s">
        <v>492</v>
      </c>
      <c r="E248" s="23" t="str">
        <f>IFERROR(__xludf.DUMMYFUNCTION("REGEXEXTRACT(TO_TEXT(A248), ""(\d{2}/\d{2}/\d{4})"")"),"02/03/2019")</f>
        <v>02/03/2019</v>
      </c>
      <c r="F248" s="26">
        <f t="shared" si="1"/>
        <v>43526</v>
      </c>
    </row>
    <row r="249">
      <c r="A249" s="11" t="s">
        <v>3072</v>
      </c>
      <c r="B249" s="25" t="s">
        <v>3073</v>
      </c>
      <c r="C249" s="11" t="s">
        <v>493</v>
      </c>
      <c r="D249" s="11" t="s">
        <v>494</v>
      </c>
      <c r="E249" s="23" t="str">
        <f>IFERROR(__xludf.DUMMYFUNCTION("REGEXEXTRACT(TO_TEXT(A249), ""(\d{2}/\d{2}/\d{4})"")"),"05/03/2019")</f>
        <v>05/03/2019</v>
      </c>
      <c r="F249" s="26">
        <f t="shared" si="1"/>
        <v>43529</v>
      </c>
    </row>
    <row r="250">
      <c r="A250" s="10" t="s">
        <v>3074</v>
      </c>
      <c r="B250" s="25" t="s">
        <v>3075</v>
      </c>
      <c r="C250" s="10" t="s">
        <v>495</v>
      </c>
      <c r="D250" s="10" t="s">
        <v>496</v>
      </c>
      <c r="E250" s="23" t="str">
        <f>IFERROR(__xludf.DUMMYFUNCTION("REGEXEXTRACT(TO_TEXT(A250), ""(\d{2}/\d{2}/\d{4})"")"),"07/03/2019")</f>
        <v>07/03/2019</v>
      </c>
      <c r="F250" s="26">
        <f t="shared" si="1"/>
        <v>43531</v>
      </c>
    </row>
    <row r="251">
      <c r="A251" s="11" t="s">
        <v>3076</v>
      </c>
      <c r="B251" s="25" t="s">
        <v>3077</v>
      </c>
      <c r="C251" s="11" t="s">
        <v>497</v>
      </c>
      <c r="D251" s="13" t="s">
        <v>498</v>
      </c>
      <c r="E251" s="23" t="str">
        <f>IFERROR(__xludf.DUMMYFUNCTION("REGEXEXTRACT(TO_TEXT(A251), ""(\d{2}/\d{2}/\d{4})"")"),"09/03/2019")</f>
        <v>09/03/2019</v>
      </c>
      <c r="F251" s="26">
        <f t="shared" si="1"/>
        <v>43533</v>
      </c>
    </row>
    <row r="252">
      <c r="A252" s="10" t="s">
        <v>3078</v>
      </c>
      <c r="B252" s="25" t="s">
        <v>3079</v>
      </c>
      <c r="C252" s="10" t="s">
        <v>499</v>
      </c>
      <c r="D252" s="12" t="s">
        <v>500</v>
      </c>
      <c r="E252" s="23" t="str">
        <f>IFERROR(__xludf.DUMMYFUNCTION("REGEXEXTRACT(TO_TEXT(A252), ""(\d{2}/\d{2}/\d{4})"")"),"12/03/2019")</f>
        <v>12/03/2019</v>
      </c>
      <c r="F252" s="26">
        <f t="shared" si="1"/>
        <v>43536</v>
      </c>
    </row>
    <row r="253">
      <c r="A253" s="11" t="s">
        <v>3080</v>
      </c>
      <c r="B253" s="25" t="s">
        <v>3081</v>
      </c>
      <c r="C253" s="11" t="s">
        <v>501</v>
      </c>
      <c r="D253" s="13" t="s">
        <v>502</v>
      </c>
      <c r="E253" s="23" t="str">
        <f>IFERROR(__xludf.DUMMYFUNCTION("REGEXEXTRACT(TO_TEXT(A253), ""(\d{2}/\d{2}/\d{4})"")"),"14/03/2019")</f>
        <v>14/03/2019</v>
      </c>
      <c r="F253" s="26">
        <f t="shared" si="1"/>
        <v>43538</v>
      </c>
    </row>
    <row r="254">
      <c r="A254" s="10" t="s">
        <v>3082</v>
      </c>
      <c r="B254" s="25" t="s">
        <v>3083</v>
      </c>
      <c r="C254" s="10" t="s">
        <v>503</v>
      </c>
      <c r="D254" s="10" t="s">
        <v>504</v>
      </c>
      <c r="E254" s="23" t="str">
        <f>IFERROR(__xludf.DUMMYFUNCTION("REGEXEXTRACT(TO_TEXT(A254), ""(\d{2}/\d{2}/\d{4})"")"),"16/03/2019")</f>
        <v>16/03/2019</v>
      </c>
      <c r="F254" s="26">
        <f t="shared" si="1"/>
        <v>43540</v>
      </c>
    </row>
    <row r="255">
      <c r="A255" s="11" t="s">
        <v>3084</v>
      </c>
      <c r="B255" s="25" t="s">
        <v>3085</v>
      </c>
      <c r="C255" s="11" t="s">
        <v>505</v>
      </c>
      <c r="D255" s="11" t="s">
        <v>506</v>
      </c>
      <c r="E255" s="23" t="str">
        <f>IFERROR(__xludf.DUMMYFUNCTION("REGEXEXTRACT(TO_TEXT(A255), ""(\d{2}/\d{2}/\d{4})"")"),"19/03/2019")</f>
        <v>19/03/2019</v>
      </c>
      <c r="F255" s="26">
        <f t="shared" si="1"/>
        <v>43543</v>
      </c>
    </row>
    <row r="256">
      <c r="A256" s="10" t="s">
        <v>3086</v>
      </c>
      <c r="B256" s="25" t="s">
        <v>3087</v>
      </c>
      <c r="C256" s="10" t="s">
        <v>507</v>
      </c>
      <c r="D256" s="10" t="s">
        <v>508</v>
      </c>
      <c r="E256" s="23" t="str">
        <f>IFERROR(__xludf.DUMMYFUNCTION("REGEXEXTRACT(TO_TEXT(A256), ""(\d{2}/\d{2}/\d{4})"")"),"21/03/2019")</f>
        <v>21/03/2019</v>
      </c>
      <c r="F256" s="26">
        <f t="shared" si="1"/>
        <v>43545</v>
      </c>
    </row>
    <row r="257">
      <c r="A257" s="11" t="s">
        <v>3088</v>
      </c>
      <c r="B257" s="25" t="s">
        <v>3089</v>
      </c>
      <c r="C257" s="11" t="s">
        <v>509</v>
      </c>
      <c r="D257" s="11" t="s">
        <v>510</v>
      </c>
      <c r="E257" s="23" t="str">
        <f>IFERROR(__xludf.DUMMYFUNCTION("REGEXEXTRACT(TO_TEXT(A257), ""(\d{2}/\d{2}/\d{4})"")"),"23/03/2019")</f>
        <v>23/03/2019</v>
      </c>
      <c r="F257" s="26">
        <f t="shared" si="1"/>
        <v>43547</v>
      </c>
    </row>
    <row r="258">
      <c r="A258" s="10" t="s">
        <v>3090</v>
      </c>
      <c r="B258" s="25" t="s">
        <v>3091</v>
      </c>
      <c r="C258" s="10" t="s">
        <v>511</v>
      </c>
      <c r="D258" s="12" t="s">
        <v>512</v>
      </c>
      <c r="E258" s="23" t="str">
        <f>IFERROR(__xludf.DUMMYFUNCTION("REGEXEXTRACT(TO_TEXT(A258), ""(\d{2}/\d{2}/\d{4})"")"),"26/03/2019")</f>
        <v>26/03/2019</v>
      </c>
      <c r="F258" s="26">
        <f t="shared" si="1"/>
        <v>43550</v>
      </c>
    </row>
    <row r="259">
      <c r="A259" s="11" t="s">
        <v>3092</v>
      </c>
      <c r="B259" s="25" t="s">
        <v>3093</v>
      </c>
      <c r="C259" s="11" t="s">
        <v>513</v>
      </c>
      <c r="D259" s="11" t="s">
        <v>514</v>
      </c>
      <c r="E259" s="23" t="str">
        <f>IFERROR(__xludf.DUMMYFUNCTION("REGEXEXTRACT(TO_TEXT(A259), ""(\d{2}/\d{2}/\d{4})"")"),"28/03/2019")</f>
        <v>28/03/2019</v>
      </c>
      <c r="F259" s="26">
        <f t="shared" si="1"/>
        <v>43552</v>
      </c>
    </row>
    <row r="260">
      <c r="A260" s="10" t="s">
        <v>3094</v>
      </c>
      <c r="B260" s="25" t="s">
        <v>3095</v>
      </c>
      <c r="C260" s="10" t="s">
        <v>515</v>
      </c>
      <c r="D260" s="12" t="s">
        <v>516</v>
      </c>
      <c r="E260" s="23" t="str">
        <f>IFERROR(__xludf.DUMMYFUNCTION("REGEXEXTRACT(TO_TEXT(A260), ""(\d{2}/\d{2}/\d{4})"")"),"30/03/2019")</f>
        <v>30/03/2019</v>
      </c>
      <c r="F260" s="26">
        <f t="shared" si="1"/>
        <v>43554</v>
      </c>
    </row>
    <row r="261">
      <c r="A261" s="11" t="s">
        <v>3096</v>
      </c>
      <c r="B261" s="25" t="s">
        <v>3097</v>
      </c>
      <c r="C261" s="11" t="s">
        <v>517</v>
      </c>
      <c r="D261" s="11" t="s">
        <v>518</v>
      </c>
      <c r="E261" s="23" t="str">
        <f>IFERROR(__xludf.DUMMYFUNCTION("REGEXEXTRACT(TO_TEXT(A261), ""(\d{2}/\d{2}/\d{4})"")"),"02/04/2019")</f>
        <v>02/04/2019</v>
      </c>
      <c r="F261" s="26">
        <f t="shared" si="1"/>
        <v>43557</v>
      </c>
    </row>
    <row r="262">
      <c r="A262" s="10" t="s">
        <v>3098</v>
      </c>
      <c r="B262" s="25" t="s">
        <v>3099</v>
      </c>
      <c r="C262" s="10" t="s">
        <v>519</v>
      </c>
      <c r="D262" s="12" t="s">
        <v>520</v>
      </c>
      <c r="E262" s="23" t="str">
        <f>IFERROR(__xludf.DUMMYFUNCTION("REGEXEXTRACT(TO_TEXT(A262), ""(\d{2}/\d{2}/\d{4})"")"),"04/04/2019")</f>
        <v>04/04/2019</v>
      </c>
      <c r="F262" s="26">
        <f t="shared" si="1"/>
        <v>43559</v>
      </c>
    </row>
    <row r="263">
      <c r="A263" s="11" t="s">
        <v>3100</v>
      </c>
      <c r="B263" s="25" t="s">
        <v>3101</v>
      </c>
      <c r="C263" s="11" t="s">
        <v>521</v>
      </c>
      <c r="D263" s="11" t="s">
        <v>522</v>
      </c>
      <c r="E263" s="23" t="str">
        <f>IFERROR(__xludf.DUMMYFUNCTION("REGEXEXTRACT(TO_TEXT(A263), ""(\d{2}/\d{2}/\d{4})"")"),"06/04/2019")</f>
        <v>06/04/2019</v>
      </c>
      <c r="F263" s="26">
        <f t="shared" si="1"/>
        <v>43561</v>
      </c>
    </row>
    <row r="264">
      <c r="A264" s="10" t="s">
        <v>3102</v>
      </c>
      <c r="B264" s="25" t="s">
        <v>3103</v>
      </c>
      <c r="C264" s="10" t="s">
        <v>523</v>
      </c>
      <c r="D264" s="12" t="s">
        <v>524</v>
      </c>
      <c r="E264" s="23" t="str">
        <f>IFERROR(__xludf.DUMMYFUNCTION("REGEXEXTRACT(TO_TEXT(A264), ""(\d{2}/\d{2}/\d{4})"")"),"09/04/2019")</f>
        <v>09/04/2019</v>
      </c>
      <c r="F264" s="26">
        <f t="shared" si="1"/>
        <v>43564</v>
      </c>
    </row>
    <row r="265">
      <c r="A265" s="11" t="s">
        <v>3104</v>
      </c>
      <c r="B265" s="25" t="s">
        <v>3105</v>
      </c>
      <c r="C265" s="11" t="s">
        <v>525</v>
      </c>
      <c r="D265" s="11" t="s">
        <v>526</v>
      </c>
      <c r="E265" s="23" t="str">
        <f>IFERROR(__xludf.DUMMYFUNCTION("REGEXEXTRACT(TO_TEXT(A265), ""(\d{2}/\d{2}/\d{4})"")"),"11/04/2019")</f>
        <v>11/04/2019</v>
      </c>
      <c r="F265" s="26">
        <f t="shared" si="1"/>
        <v>43566</v>
      </c>
    </row>
    <row r="266">
      <c r="A266" s="10" t="s">
        <v>3106</v>
      </c>
      <c r="B266" s="25" t="s">
        <v>3107</v>
      </c>
      <c r="C266" s="10" t="s">
        <v>527</v>
      </c>
      <c r="D266" s="10" t="s">
        <v>528</v>
      </c>
      <c r="E266" s="23" t="str">
        <f>IFERROR(__xludf.DUMMYFUNCTION("REGEXEXTRACT(TO_TEXT(A266), ""(\d{2}/\d{2}/\d{4})"")"),"13/04/2019")</f>
        <v>13/04/2019</v>
      </c>
      <c r="F266" s="26">
        <f t="shared" si="1"/>
        <v>43568</v>
      </c>
    </row>
    <row r="267">
      <c r="A267" s="11" t="s">
        <v>3108</v>
      </c>
      <c r="B267" s="25" t="s">
        <v>3109</v>
      </c>
      <c r="C267" s="11" t="s">
        <v>529</v>
      </c>
      <c r="D267" s="11" t="s">
        <v>530</v>
      </c>
      <c r="E267" s="23" t="str">
        <f>IFERROR(__xludf.DUMMYFUNCTION("REGEXEXTRACT(TO_TEXT(A267), ""(\d{2}/\d{2}/\d{4})"")"),"16/04/2019")</f>
        <v>16/04/2019</v>
      </c>
      <c r="F267" s="26">
        <f t="shared" si="1"/>
        <v>43571</v>
      </c>
    </row>
    <row r="268">
      <c r="A268" s="10" t="s">
        <v>3110</v>
      </c>
      <c r="B268" s="25" t="s">
        <v>3111</v>
      </c>
      <c r="C268" s="10" t="s">
        <v>531</v>
      </c>
      <c r="D268" s="10" t="s">
        <v>532</v>
      </c>
      <c r="E268" s="23" t="str">
        <f>IFERROR(__xludf.DUMMYFUNCTION("REGEXEXTRACT(TO_TEXT(A268), ""(\d{2}/\d{2}/\d{4})"")"),"18/04/2019")</f>
        <v>18/04/2019</v>
      </c>
      <c r="F268" s="26">
        <f t="shared" si="1"/>
        <v>43573</v>
      </c>
    </row>
    <row r="269">
      <c r="A269" s="11" t="s">
        <v>3112</v>
      </c>
      <c r="B269" s="25" t="s">
        <v>3113</v>
      </c>
      <c r="C269" s="13" t="s">
        <v>533</v>
      </c>
      <c r="D269" s="13" t="s">
        <v>534</v>
      </c>
      <c r="E269" s="23" t="str">
        <f>IFERROR(__xludf.DUMMYFUNCTION("REGEXEXTRACT(TO_TEXT(A269), ""(\d{2}/\d{2}/\d{4})"")"),"20/04/2019")</f>
        <v>20/04/2019</v>
      </c>
      <c r="F269" s="26">
        <f t="shared" si="1"/>
        <v>43575</v>
      </c>
    </row>
    <row r="270">
      <c r="A270" s="10" t="s">
        <v>3114</v>
      </c>
      <c r="B270" s="25" t="s">
        <v>3115</v>
      </c>
      <c r="C270" s="10" t="s">
        <v>535</v>
      </c>
      <c r="D270" s="10" t="s">
        <v>536</v>
      </c>
      <c r="E270" s="23" t="str">
        <f>IFERROR(__xludf.DUMMYFUNCTION("REGEXEXTRACT(TO_TEXT(A270), ""(\d{2}/\d{2}/\d{4})"")"),"23/04/2019")</f>
        <v>23/04/2019</v>
      </c>
      <c r="F270" s="26">
        <f t="shared" si="1"/>
        <v>43578</v>
      </c>
    </row>
    <row r="271">
      <c r="A271" s="11" t="s">
        <v>3116</v>
      </c>
      <c r="B271" s="25" t="s">
        <v>3117</v>
      </c>
      <c r="C271" s="11" t="s">
        <v>537</v>
      </c>
      <c r="D271" s="11" t="s">
        <v>538</v>
      </c>
      <c r="E271" s="23" t="str">
        <f>IFERROR(__xludf.DUMMYFUNCTION("REGEXEXTRACT(TO_TEXT(A271), ""(\d{2}/\d{2}/\d{4})"")"),"25/04/2019")</f>
        <v>25/04/2019</v>
      </c>
      <c r="F271" s="26">
        <f t="shared" si="1"/>
        <v>43580</v>
      </c>
    </row>
    <row r="272">
      <c r="A272" s="10" t="s">
        <v>3118</v>
      </c>
      <c r="B272" s="25" t="s">
        <v>3119</v>
      </c>
      <c r="C272" s="10" t="s">
        <v>539</v>
      </c>
      <c r="D272" s="10" t="s">
        <v>540</v>
      </c>
      <c r="E272" s="23" t="str">
        <f>IFERROR(__xludf.DUMMYFUNCTION("REGEXEXTRACT(TO_TEXT(A272), ""(\d{2}/\d{2}/\d{4})"")"),"27/04/2019")</f>
        <v>27/04/2019</v>
      </c>
      <c r="F272" s="26">
        <f t="shared" si="1"/>
        <v>43582</v>
      </c>
    </row>
    <row r="273">
      <c r="A273" s="11" t="s">
        <v>3120</v>
      </c>
      <c r="B273" s="25" t="s">
        <v>3121</v>
      </c>
      <c r="C273" s="11" t="s">
        <v>541</v>
      </c>
      <c r="D273" s="11" t="s">
        <v>542</v>
      </c>
      <c r="E273" s="23" t="str">
        <f>IFERROR(__xludf.DUMMYFUNCTION("REGEXEXTRACT(TO_TEXT(A273), ""(\d{2}/\d{2}/\d{4})"")"),"30/04/2019")</f>
        <v>30/04/2019</v>
      </c>
      <c r="F273" s="26">
        <f t="shared" si="1"/>
        <v>43585</v>
      </c>
    </row>
    <row r="274">
      <c r="A274" s="10" t="s">
        <v>3122</v>
      </c>
      <c r="B274" s="25" t="s">
        <v>3123</v>
      </c>
      <c r="C274" s="10" t="s">
        <v>543</v>
      </c>
      <c r="D274" s="10" t="s">
        <v>544</v>
      </c>
      <c r="E274" s="23" t="str">
        <f>IFERROR(__xludf.DUMMYFUNCTION("REGEXEXTRACT(TO_TEXT(A274), ""(\d{2}/\d{2}/\d{4})"")"),"02/05/2019")</f>
        <v>02/05/2019</v>
      </c>
      <c r="F274" s="26">
        <f t="shared" si="1"/>
        <v>43587</v>
      </c>
    </row>
    <row r="275">
      <c r="A275" s="11" t="s">
        <v>3124</v>
      </c>
      <c r="B275" s="25" t="s">
        <v>3125</v>
      </c>
      <c r="C275" s="11" t="s">
        <v>545</v>
      </c>
      <c r="D275" s="13" t="s">
        <v>546</v>
      </c>
      <c r="E275" s="23" t="str">
        <f>IFERROR(__xludf.DUMMYFUNCTION("REGEXEXTRACT(TO_TEXT(A275), ""(\d{2}/\d{2}/\d{4})"")"),"04/05/2019")</f>
        <v>04/05/2019</v>
      </c>
      <c r="F275" s="26">
        <f t="shared" si="1"/>
        <v>43589</v>
      </c>
    </row>
    <row r="276">
      <c r="A276" s="10" t="s">
        <v>3126</v>
      </c>
      <c r="B276" s="25" t="s">
        <v>3127</v>
      </c>
      <c r="C276" s="10" t="s">
        <v>547</v>
      </c>
      <c r="D276" s="10" t="s">
        <v>548</v>
      </c>
      <c r="E276" s="23" t="str">
        <f>IFERROR(__xludf.DUMMYFUNCTION("REGEXEXTRACT(TO_TEXT(A276), ""(\d{2}/\d{2}/\d{4})"")"),"07/05/2019")</f>
        <v>07/05/2019</v>
      </c>
      <c r="F276" s="26">
        <f t="shared" si="1"/>
        <v>43592</v>
      </c>
    </row>
    <row r="277">
      <c r="A277" s="11" t="s">
        <v>3128</v>
      </c>
      <c r="B277" s="25" t="s">
        <v>3129</v>
      </c>
      <c r="C277" s="11" t="s">
        <v>549</v>
      </c>
      <c r="D277" s="11" t="s">
        <v>550</v>
      </c>
      <c r="E277" s="23" t="str">
        <f>IFERROR(__xludf.DUMMYFUNCTION("REGEXEXTRACT(TO_TEXT(A277), ""(\d{2}/\d{2}/\d{4})"")"),"09/05/2019")</f>
        <v>09/05/2019</v>
      </c>
      <c r="F277" s="26">
        <f t="shared" si="1"/>
        <v>43594</v>
      </c>
    </row>
    <row r="278">
      <c r="A278" s="10" t="s">
        <v>3130</v>
      </c>
      <c r="B278" s="25" t="s">
        <v>3131</v>
      </c>
      <c r="C278" s="10" t="s">
        <v>551</v>
      </c>
      <c r="D278" s="10" t="s">
        <v>552</v>
      </c>
      <c r="E278" s="23" t="str">
        <f>IFERROR(__xludf.DUMMYFUNCTION("REGEXEXTRACT(TO_TEXT(A278), ""(\d{2}/\d{2}/\d{4})"")"),"11/05/2019")</f>
        <v>11/05/2019</v>
      </c>
      <c r="F278" s="26">
        <f t="shared" si="1"/>
        <v>43596</v>
      </c>
    </row>
    <row r="279">
      <c r="A279" s="11" t="s">
        <v>3132</v>
      </c>
      <c r="B279" s="25" t="s">
        <v>3133</v>
      </c>
      <c r="C279" s="11" t="s">
        <v>553</v>
      </c>
      <c r="D279" s="11" t="s">
        <v>554</v>
      </c>
      <c r="E279" s="23" t="str">
        <f>IFERROR(__xludf.DUMMYFUNCTION("REGEXEXTRACT(TO_TEXT(A279), ""(\d{2}/\d{2}/\d{4})"")"),"14/05/2019")</f>
        <v>14/05/2019</v>
      </c>
      <c r="F279" s="26">
        <f t="shared" si="1"/>
        <v>43599</v>
      </c>
    </row>
    <row r="280">
      <c r="A280" s="10" t="s">
        <v>3134</v>
      </c>
      <c r="B280" s="25" t="s">
        <v>3135</v>
      </c>
      <c r="C280" s="10" t="s">
        <v>555</v>
      </c>
      <c r="D280" s="10" t="s">
        <v>556</v>
      </c>
      <c r="E280" s="23" t="str">
        <f>IFERROR(__xludf.DUMMYFUNCTION("REGEXEXTRACT(TO_TEXT(A280), ""(\d{2}/\d{2}/\d{4})"")"),"16/05/2019")</f>
        <v>16/05/2019</v>
      </c>
      <c r="F280" s="26">
        <f t="shared" si="1"/>
        <v>43601</v>
      </c>
    </row>
    <row r="281">
      <c r="A281" s="11" t="s">
        <v>3136</v>
      </c>
      <c r="B281" s="25" t="s">
        <v>3137</v>
      </c>
      <c r="C281" s="11" t="s">
        <v>557</v>
      </c>
      <c r="D281" s="11" t="s">
        <v>558</v>
      </c>
      <c r="E281" s="23" t="str">
        <f>IFERROR(__xludf.DUMMYFUNCTION("REGEXEXTRACT(TO_TEXT(A281), ""(\d{2}/\d{2}/\d{4})"")"),"18/05/2019")</f>
        <v>18/05/2019</v>
      </c>
      <c r="F281" s="26">
        <f t="shared" si="1"/>
        <v>43603</v>
      </c>
    </row>
    <row r="282">
      <c r="A282" s="10" t="s">
        <v>3138</v>
      </c>
      <c r="B282" s="25" t="s">
        <v>3139</v>
      </c>
      <c r="C282" s="10" t="s">
        <v>559</v>
      </c>
      <c r="D282" s="10" t="s">
        <v>560</v>
      </c>
      <c r="E282" s="23" t="str">
        <f>IFERROR(__xludf.DUMMYFUNCTION("REGEXEXTRACT(TO_TEXT(A282), ""(\d{2}/\d{2}/\d{4})"")"),"21/05/2019")</f>
        <v>21/05/2019</v>
      </c>
      <c r="F282" s="26">
        <f t="shared" si="1"/>
        <v>43606</v>
      </c>
    </row>
    <row r="283">
      <c r="A283" s="11" t="s">
        <v>3140</v>
      </c>
      <c r="B283" s="25" t="s">
        <v>3141</v>
      </c>
      <c r="C283" s="11" t="s">
        <v>561</v>
      </c>
      <c r="D283" s="11" t="s">
        <v>562</v>
      </c>
      <c r="E283" s="23" t="str">
        <f>IFERROR(__xludf.DUMMYFUNCTION("REGEXEXTRACT(TO_TEXT(A283), ""(\d{2}/\d{2}/\d{4})"")"),"23/05/2019")</f>
        <v>23/05/2019</v>
      </c>
      <c r="F283" s="26">
        <f t="shared" si="1"/>
        <v>43608</v>
      </c>
    </row>
    <row r="284">
      <c r="A284" s="10" t="s">
        <v>3142</v>
      </c>
      <c r="B284" s="25" t="s">
        <v>3143</v>
      </c>
      <c r="C284" s="10" t="s">
        <v>563</v>
      </c>
      <c r="D284" s="12" t="s">
        <v>564</v>
      </c>
      <c r="E284" s="23" t="str">
        <f>IFERROR(__xludf.DUMMYFUNCTION("REGEXEXTRACT(TO_TEXT(A284), ""(\d{2}/\d{2}/\d{4})"")"),"25/05/2019")</f>
        <v>25/05/2019</v>
      </c>
      <c r="F284" s="26">
        <f t="shared" si="1"/>
        <v>43610</v>
      </c>
    </row>
    <row r="285">
      <c r="A285" s="11" t="s">
        <v>3144</v>
      </c>
      <c r="B285" s="25" t="s">
        <v>3145</v>
      </c>
      <c r="C285" s="11" t="s">
        <v>565</v>
      </c>
      <c r="D285" s="11" t="s">
        <v>566</v>
      </c>
      <c r="E285" s="23" t="str">
        <f>IFERROR(__xludf.DUMMYFUNCTION("REGEXEXTRACT(TO_TEXT(A285), ""(\d{2}/\d{2}/\d{4})"")"),"28/05/2019")</f>
        <v>28/05/2019</v>
      </c>
      <c r="F285" s="26">
        <f t="shared" si="1"/>
        <v>43613</v>
      </c>
    </row>
    <row r="286">
      <c r="A286" s="10" t="s">
        <v>3146</v>
      </c>
      <c r="B286" s="25" t="s">
        <v>3147</v>
      </c>
      <c r="C286" s="10" t="s">
        <v>567</v>
      </c>
      <c r="D286" s="10" t="s">
        <v>568</v>
      </c>
      <c r="E286" s="23" t="str">
        <f>IFERROR(__xludf.DUMMYFUNCTION("REGEXEXTRACT(TO_TEXT(A286), ""(\d{2}/\d{2}/\d{4})"")"),"30/05/2019")</f>
        <v>30/05/2019</v>
      </c>
      <c r="F286" s="26">
        <f t="shared" si="1"/>
        <v>43615</v>
      </c>
    </row>
    <row r="287">
      <c r="A287" s="11" t="s">
        <v>3148</v>
      </c>
      <c r="B287" s="25" t="s">
        <v>3149</v>
      </c>
      <c r="C287" s="11" t="s">
        <v>569</v>
      </c>
      <c r="D287" s="11" t="s">
        <v>570</v>
      </c>
      <c r="E287" s="23" t="str">
        <f>IFERROR(__xludf.DUMMYFUNCTION("REGEXEXTRACT(TO_TEXT(A287), ""(\d{2}/\d{2}/\d{4})"")"),"01/06/2019")</f>
        <v>01/06/2019</v>
      </c>
      <c r="F287" s="26">
        <f t="shared" si="1"/>
        <v>43617</v>
      </c>
    </row>
    <row r="288">
      <c r="A288" s="10" t="s">
        <v>3150</v>
      </c>
      <c r="B288" s="25" t="s">
        <v>3151</v>
      </c>
      <c r="C288" s="10" t="s">
        <v>571</v>
      </c>
      <c r="D288" s="10" t="s">
        <v>572</v>
      </c>
      <c r="E288" s="23" t="str">
        <f>IFERROR(__xludf.DUMMYFUNCTION("REGEXEXTRACT(TO_TEXT(A288), ""(\d{2}/\d{2}/\d{4})"")"),"04/06/2019")</f>
        <v>04/06/2019</v>
      </c>
      <c r="F288" s="26">
        <f t="shared" si="1"/>
        <v>43620</v>
      </c>
    </row>
    <row r="289">
      <c r="A289" s="11" t="s">
        <v>3152</v>
      </c>
      <c r="B289" s="25" t="s">
        <v>3153</v>
      </c>
      <c r="C289" s="11" t="s">
        <v>573</v>
      </c>
      <c r="D289" s="11" t="s">
        <v>574</v>
      </c>
      <c r="E289" s="23" t="str">
        <f>IFERROR(__xludf.DUMMYFUNCTION("REGEXEXTRACT(TO_TEXT(A289), ""(\d{2}/\d{2}/\d{4})"")"),"06/06/2019")</f>
        <v>06/06/2019</v>
      </c>
      <c r="F289" s="26">
        <f t="shared" si="1"/>
        <v>43622</v>
      </c>
    </row>
    <row r="290">
      <c r="A290" s="10" t="s">
        <v>3154</v>
      </c>
      <c r="B290" s="25" t="s">
        <v>3155</v>
      </c>
      <c r="C290" s="10" t="s">
        <v>575</v>
      </c>
      <c r="D290" s="10" t="s">
        <v>576</v>
      </c>
      <c r="E290" s="23" t="str">
        <f>IFERROR(__xludf.DUMMYFUNCTION("REGEXEXTRACT(TO_TEXT(A290), ""(\d{2}/\d{2}/\d{4})"")"),"08/06/2019")</f>
        <v>08/06/2019</v>
      </c>
      <c r="F290" s="26">
        <f t="shared" si="1"/>
        <v>43624</v>
      </c>
    </row>
    <row r="291">
      <c r="A291" s="11" t="s">
        <v>3156</v>
      </c>
      <c r="B291" s="25" t="s">
        <v>3157</v>
      </c>
      <c r="C291" s="11" t="s">
        <v>577</v>
      </c>
      <c r="D291" s="13" t="s">
        <v>578</v>
      </c>
      <c r="E291" s="23" t="str">
        <f>IFERROR(__xludf.DUMMYFUNCTION("REGEXEXTRACT(TO_TEXT(A291), ""(\d{2}/\d{2}/\d{4})"")"),"11/06/2019")</f>
        <v>11/06/2019</v>
      </c>
      <c r="F291" s="26">
        <f t="shared" si="1"/>
        <v>43627</v>
      </c>
    </row>
    <row r="292">
      <c r="A292" s="10" t="s">
        <v>3158</v>
      </c>
      <c r="B292" s="25" t="s">
        <v>3159</v>
      </c>
      <c r="C292" s="10" t="s">
        <v>579</v>
      </c>
      <c r="D292" s="10" t="s">
        <v>580</v>
      </c>
      <c r="E292" s="23" t="str">
        <f>IFERROR(__xludf.DUMMYFUNCTION("REGEXEXTRACT(TO_TEXT(A292), ""(\d{2}/\d{2}/\d{4})"")"),"13/06/2019")</f>
        <v>13/06/2019</v>
      </c>
      <c r="F292" s="26">
        <f t="shared" si="1"/>
        <v>43629</v>
      </c>
    </row>
    <row r="293">
      <c r="A293" s="11" t="s">
        <v>3160</v>
      </c>
      <c r="B293" s="25" t="s">
        <v>3161</v>
      </c>
      <c r="C293" s="11" t="s">
        <v>581</v>
      </c>
      <c r="D293" s="11" t="s">
        <v>582</v>
      </c>
      <c r="E293" s="23" t="str">
        <f>IFERROR(__xludf.DUMMYFUNCTION("REGEXEXTRACT(TO_TEXT(A293), ""(\d{2}/\d{2}/\d{4})"")"),"15/06/2019")</f>
        <v>15/06/2019</v>
      </c>
      <c r="F293" s="26">
        <f t="shared" si="1"/>
        <v>43631</v>
      </c>
    </row>
    <row r="294">
      <c r="A294" s="10" t="s">
        <v>3162</v>
      </c>
      <c r="B294" s="25" t="s">
        <v>3163</v>
      </c>
      <c r="C294" s="10" t="s">
        <v>583</v>
      </c>
      <c r="D294" s="10" t="s">
        <v>584</v>
      </c>
      <c r="E294" s="23" t="str">
        <f>IFERROR(__xludf.DUMMYFUNCTION("REGEXEXTRACT(TO_TEXT(A294), ""(\d{2}/\d{2}/\d{4})"")"),"18/06/2019")</f>
        <v>18/06/2019</v>
      </c>
      <c r="F294" s="26">
        <f t="shared" si="1"/>
        <v>43634</v>
      </c>
    </row>
    <row r="295">
      <c r="A295" s="11" t="s">
        <v>3164</v>
      </c>
      <c r="B295" s="25" t="s">
        <v>3165</v>
      </c>
      <c r="C295" s="11" t="s">
        <v>585</v>
      </c>
      <c r="D295" s="11" t="s">
        <v>586</v>
      </c>
      <c r="E295" s="23" t="str">
        <f>IFERROR(__xludf.DUMMYFUNCTION("REGEXEXTRACT(TO_TEXT(A295), ""(\d{2}/\d{2}/\d{4})"")"),"20/06/2019")</f>
        <v>20/06/2019</v>
      </c>
      <c r="F295" s="26">
        <f t="shared" si="1"/>
        <v>43636</v>
      </c>
    </row>
    <row r="296">
      <c r="A296" s="10" t="s">
        <v>3166</v>
      </c>
      <c r="B296" s="25" t="s">
        <v>3167</v>
      </c>
      <c r="C296" s="10" t="s">
        <v>587</v>
      </c>
      <c r="D296" s="10" t="s">
        <v>588</v>
      </c>
      <c r="E296" s="23" t="str">
        <f>IFERROR(__xludf.DUMMYFUNCTION("REGEXEXTRACT(TO_TEXT(A296), ""(\d{2}/\d{2}/\d{4})"")"),"22/06/2019")</f>
        <v>22/06/2019</v>
      </c>
      <c r="F296" s="26">
        <f t="shared" si="1"/>
        <v>43638</v>
      </c>
    </row>
    <row r="297">
      <c r="A297" s="11" t="s">
        <v>3168</v>
      </c>
      <c r="B297" s="25" t="s">
        <v>3169</v>
      </c>
      <c r="C297" s="11" t="s">
        <v>589</v>
      </c>
      <c r="D297" s="11" t="s">
        <v>590</v>
      </c>
      <c r="E297" s="23" t="str">
        <f>IFERROR(__xludf.DUMMYFUNCTION("REGEXEXTRACT(TO_TEXT(A297), ""(\d{2}/\d{2}/\d{4})"")"),"25/06/2019")</f>
        <v>25/06/2019</v>
      </c>
      <c r="F297" s="26">
        <f t="shared" si="1"/>
        <v>43641</v>
      </c>
    </row>
    <row r="298">
      <c r="A298" s="10" t="s">
        <v>3170</v>
      </c>
      <c r="B298" s="25" t="s">
        <v>3171</v>
      </c>
      <c r="C298" s="10" t="s">
        <v>591</v>
      </c>
      <c r="D298" s="12" t="s">
        <v>592</v>
      </c>
      <c r="E298" s="23" t="str">
        <f>IFERROR(__xludf.DUMMYFUNCTION("REGEXEXTRACT(TO_TEXT(A298), ""(\d{2}/\d{2}/\d{4})"")"),"27/06/2019")</f>
        <v>27/06/2019</v>
      </c>
      <c r="F298" s="26">
        <f t="shared" si="1"/>
        <v>43643</v>
      </c>
    </row>
    <row r="299">
      <c r="A299" s="11" t="s">
        <v>3172</v>
      </c>
      <c r="B299" s="25" t="s">
        <v>3173</v>
      </c>
      <c r="C299" s="11" t="s">
        <v>593</v>
      </c>
      <c r="D299" s="11" t="s">
        <v>594</v>
      </c>
      <c r="E299" s="23" t="str">
        <f>IFERROR(__xludf.DUMMYFUNCTION("REGEXEXTRACT(TO_TEXT(A299), ""(\d{2}/\d{2}/\d{4})"")"),"29/06/2019")</f>
        <v>29/06/2019</v>
      </c>
      <c r="F299" s="26">
        <f t="shared" si="1"/>
        <v>43645</v>
      </c>
    </row>
    <row r="300">
      <c r="A300" s="10" t="s">
        <v>3174</v>
      </c>
      <c r="B300" s="25" t="s">
        <v>3175</v>
      </c>
      <c r="C300" s="10" t="s">
        <v>595</v>
      </c>
      <c r="D300" s="10" t="s">
        <v>596</v>
      </c>
      <c r="E300" s="23" t="str">
        <f>IFERROR(__xludf.DUMMYFUNCTION("REGEXEXTRACT(TO_TEXT(A300), ""(\d{2}/\d{2}/\d{4})"")"),"02/07/2019")</f>
        <v>02/07/2019</v>
      </c>
      <c r="F300" s="26">
        <f t="shared" si="1"/>
        <v>43648</v>
      </c>
    </row>
    <row r="301">
      <c r="A301" s="11" t="s">
        <v>3176</v>
      </c>
      <c r="B301" s="25" t="s">
        <v>3177</v>
      </c>
      <c r="C301" s="11" t="s">
        <v>597</v>
      </c>
      <c r="D301" s="11" t="s">
        <v>598</v>
      </c>
      <c r="E301" s="23" t="str">
        <f>IFERROR(__xludf.DUMMYFUNCTION("REGEXEXTRACT(TO_TEXT(A301), ""(\d{2}/\d{2}/\d{4})"")"),"04/07/2019")</f>
        <v>04/07/2019</v>
      </c>
      <c r="F301" s="26">
        <f t="shared" si="1"/>
        <v>43650</v>
      </c>
    </row>
    <row r="302">
      <c r="A302" s="10" t="s">
        <v>3178</v>
      </c>
      <c r="B302" s="25" t="s">
        <v>3179</v>
      </c>
      <c r="C302" s="10" t="s">
        <v>599</v>
      </c>
      <c r="D302" s="10" t="s">
        <v>600</v>
      </c>
      <c r="E302" s="23" t="str">
        <f>IFERROR(__xludf.DUMMYFUNCTION("REGEXEXTRACT(TO_TEXT(A302), ""(\d{2}/\d{2}/\d{4})"")"),"06/07/2019")</f>
        <v>06/07/2019</v>
      </c>
      <c r="F302" s="26">
        <f t="shared" si="1"/>
        <v>43652</v>
      </c>
    </row>
    <row r="303">
      <c r="A303" s="11" t="s">
        <v>3180</v>
      </c>
      <c r="B303" s="25" t="s">
        <v>3181</v>
      </c>
      <c r="C303" s="11" t="s">
        <v>601</v>
      </c>
      <c r="D303" s="11" t="s">
        <v>602</v>
      </c>
      <c r="E303" s="23" t="str">
        <f>IFERROR(__xludf.DUMMYFUNCTION("REGEXEXTRACT(TO_TEXT(A303), ""(\d{2}/\d{2}/\d{4})"")"),"09/07/2019")</f>
        <v>09/07/2019</v>
      </c>
      <c r="F303" s="26">
        <f t="shared" si="1"/>
        <v>43655</v>
      </c>
    </row>
    <row r="304">
      <c r="A304" s="10" t="s">
        <v>3182</v>
      </c>
      <c r="B304" s="25" t="s">
        <v>3183</v>
      </c>
      <c r="C304" s="10" t="s">
        <v>603</v>
      </c>
      <c r="D304" s="12" t="s">
        <v>604</v>
      </c>
      <c r="E304" s="23" t="str">
        <f>IFERROR(__xludf.DUMMYFUNCTION("REGEXEXTRACT(TO_TEXT(A304), ""(\d{2}/\d{2}/\d{4})"")"),"11/07/2019")</f>
        <v>11/07/2019</v>
      </c>
      <c r="F304" s="26">
        <f t="shared" si="1"/>
        <v>43657</v>
      </c>
    </row>
    <row r="305">
      <c r="A305" s="11" t="s">
        <v>3184</v>
      </c>
      <c r="B305" s="25" t="s">
        <v>3185</v>
      </c>
      <c r="C305" s="11" t="s">
        <v>605</v>
      </c>
      <c r="D305" s="11" t="s">
        <v>606</v>
      </c>
      <c r="E305" s="23" t="str">
        <f>IFERROR(__xludf.DUMMYFUNCTION("REGEXEXTRACT(TO_TEXT(A305), ""(\d{2}/\d{2}/\d{4})"")"),"13/07/2019")</f>
        <v>13/07/2019</v>
      </c>
      <c r="F305" s="26">
        <f t="shared" si="1"/>
        <v>43659</v>
      </c>
    </row>
    <row r="306">
      <c r="A306" s="10" t="s">
        <v>3186</v>
      </c>
      <c r="B306" s="25" t="s">
        <v>3187</v>
      </c>
      <c r="C306" s="10" t="s">
        <v>607</v>
      </c>
      <c r="D306" s="10" t="s">
        <v>608</v>
      </c>
      <c r="E306" s="23" t="str">
        <f>IFERROR(__xludf.DUMMYFUNCTION("REGEXEXTRACT(TO_TEXT(A306), ""(\d{2}/\d{2}/\d{4})"")"),"16/07/2019")</f>
        <v>16/07/2019</v>
      </c>
      <c r="F306" s="26">
        <f t="shared" si="1"/>
        <v>43662</v>
      </c>
    </row>
    <row r="307">
      <c r="A307" s="11" t="s">
        <v>3188</v>
      </c>
      <c r="B307" s="25" t="s">
        <v>3189</v>
      </c>
      <c r="C307" s="11" t="s">
        <v>609</v>
      </c>
      <c r="D307" s="11" t="s">
        <v>610</v>
      </c>
      <c r="E307" s="23" t="str">
        <f>IFERROR(__xludf.DUMMYFUNCTION("REGEXEXTRACT(TO_TEXT(A307), ""(\d{2}/\d{2}/\d{4})"")"),"18/07/2019")</f>
        <v>18/07/2019</v>
      </c>
      <c r="F307" s="26">
        <f t="shared" si="1"/>
        <v>43664</v>
      </c>
    </row>
    <row r="308">
      <c r="A308" s="10" t="s">
        <v>3190</v>
      </c>
      <c r="B308" s="25" t="s">
        <v>3191</v>
      </c>
      <c r="C308" s="12" t="s">
        <v>611</v>
      </c>
      <c r="D308" s="12" t="s">
        <v>612</v>
      </c>
      <c r="E308" s="23" t="str">
        <f>IFERROR(__xludf.DUMMYFUNCTION("REGEXEXTRACT(TO_TEXT(A308), ""(\d{2}/\d{2}/\d{4})"")"),"20/07/2019")</f>
        <v>20/07/2019</v>
      </c>
      <c r="F308" s="26">
        <f t="shared" si="1"/>
        <v>43666</v>
      </c>
    </row>
    <row r="309">
      <c r="A309" s="11" t="s">
        <v>3192</v>
      </c>
      <c r="B309" s="25" t="s">
        <v>3193</v>
      </c>
      <c r="C309" s="11" t="s">
        <v>613</v>
      </c>
      <c r="D309" s="11" t="s">
        <v>614</v>
      </c>
      <c r="E309" s="23" t="str">
        <f>IFERROR(__xludf.DUMMYFUNCTION("REGEXEXTRACT(TO_TEXT(A309), ""(\d{2}/\d{2}/\d{4})"")"),"23/07/2019")</f>
        <v>23/07/2019</v>
      </c>
      <c r="F309" s="26">
        <f t="shared" si="1"/>
        <v>43669</v>
      </c>
    </row>
    <row r="310">
      <c r="A310" s="10" t="s">
        <v>3194</v>
      </c>
      <c r="B310" s="25" t="s">
        <v>3195</v>
      </c>
      <c r="C310" s="10" t="s">
        <v>615</v>
      </c>
      <c r="D310" s="10" t="s">
        <v>616</v>
      </c>
      <c r="E310" s="23" t="str">
        <f>IFERROR(__xludf.DUMMYFUNCTION("REGEXEXTRACT(TO_TEXT(A310), ""(\d{2}/\d{2}/\d{4})"")"),"25/07/2019")</f>
        <v>25/07/2019</v>
      </c>
      <c r="F310" s="26">
        <f t="shared" si="1"/>
        <v>43671</v>
      </c>
    </row>
    <row r="311">
      <c r="A311" s="11" t="s">
        <v>3196</v>
      </c>
      <c r="B311" s="25" t="s">
        <v>3197</v>
      </c>
      <c r="C311" s="11" t="s">
        <v>617</v>
      </c>
      <c r="D311" s="11" t="s">
        <v>618</v>
      </c>
      <c r="E311" s="23" t="str">
        <f>IFERROR(__xludf.DUMMYFUNCTION("REGEXEXTRACT(TO_TEXT(A311), ""(\d{2}/\d{2}/\d{4})"")"),"27/07/2019")</f>
        <v>27/07/2019</v>
      </c>
      <c r="F311" s="26">
        <f t="shared" si="1"/>
        <v>43673</v>
      </c>
    </row>
    <row r="312">
      <c r="A312" s="10" t="s">
        <v>3198</v>
      </c>
      <c r="B312" s="25" t="s">
        <v>3199</v>
      </c>
      <c r="C312" s="10" t="s">
        <v>619</v>
      </c>
      <c r="D312" s="10" t="s">
        <v>620</v>
      </c>
      <c r="E312" s="23" t="str">
        <f>IFERROR(__xludf.DUMMYFUNCTION("REGEXEXTRACT(TO_TEXT(A312), ""(\d{2}/\d{2}/\d{4})"")"),"30/07/2019")</f>
        <v>30/07/2019</v>
      </c>
      <c r="F312" s="26">
        <f t="shared" si="1"/>
        <v>43676</v>
      </c>
    </row>
    <row r="313">
      <c r="A313" s="11" t="s">
        <v>3200</v>
      </c>
      <c r="B313" s="25" t="s">
        <v>3201</v>
      </c>
      <c r="C313" s="11" t="s">
        <v>621</v>
      </c>
      <c r="D313" s="11" t="s">
        <v>622</v>
      </c>
      <c r="E313" s="23" t="str">
        <f>IFERROR(__xludf.DUMMYFUNCTION("REGEXEXTRACT(TO_TEXT(A313), ""(\d{2}/\d{2}/\d{4})"")"),"01/08/2019")</f>
        <v>01/08/2019</v>
      </c>
      <c r="F313" s="26">
        <f t="shared" si="1"/>
        <v>43678</v>
      </c>
    </row>
    <row r="314">
      <c r="A314" s="10" t="s">
        <v>3202</v>
      </c>
      <c r="B314" s="25" t="s">
        <v>3203</v>
      </c>
      <c r="C314" s="10" t="s">
        <v>623</v>
      </c>
      <c r="D314" s="10" t="s">
        <v>624</v>
      </c>
      <c r="E314" s="23" t="str">
        <f>IFERROR(__xludf.DUMMYFUNCTION("REGEXEXTRACT(TO_TEXT(A314), ""(\d{2}/\d{2}/\d{4})"")"),"03/08/2019")</f>
        <v>03/08/2019</v>
      </c>
      <c r="F314" s="26">
        <f t="shared" si="1"/>
        <v>43680</v>
      </c>
    </row>
    <row r="315">
      <c r="A315" s="11" t="s">
        <v>3204</v>
      </c>
      <c r="B315" s="25" t="s">
        <v>3205</v>
      </c>
      <c r="C315" s="11" t="s">
        <v>625</v>
      </c>
      <c r="D315" s="13" t="s">
        <v>626</v>
      </c>
      <c r="E315" s="23" t="str">
        <f>IFERROR(__xludf.DUMMYFUNCTION("REGEXEXTRACT(TO_TEXT(A315), ""(\d{2}/\d{2}/\d{4})"")"),"06/08/2019")</f>
        <v>06/08/2019</v>
      </c>
      <c r="F315" s="26">
        <f t="shared" si="1"/>
        <v>43683</v>
      </c>
    </row>
    <row r="316">
      <c r="A316" s="10" t="s">
        <v>3206</v>
      </c>
      <c r="B316" s="25" t="s">
        <v>3207</v>
      </c>
      <c r="C316" s="10" t="s">
        <v>627</v>
      </c>
      <c r="D316" s="10" t="s">
        <v>628</v>
      </c>
      <c r="E316" s="23" t="str">
        <f>IFERROR(__xludf.DUMMYFUNCTION("REGEXEXTRACT(TO_TEXT(A316), ""(\d{2}/\d{2}/\d{4})"")"),"08/08/2019")</f>
        <v>08/08/2019</v>
      </c>
      <c r="F316" s="26">
        <f t="shared" si="1"/>
        <v>43685</v>
      </c>
    </row>
    <row r="317">
      <c r="A317" s="11" t="s">
        <v>3208</v>
      </c>
      <c r="B317" s="25" t="s">
        <v>3209</v>
      </c>
      <c r="C317" s="11" t="s">
        <v>629</v>
      </c>
      <c r="D317" s="11" t="s">
        <v>630</v>
      </c>
      <c r="E317" s="23" t="str">
        <f>IFERROR(__xludf.DUMMYFUNCTION("REGEXEXTRACT(TO_TEXT(A317), ""(\d{2}/\d{2}/\d{4})"")"),"10/08/2019")</f>
        <v>10/08/2019</v>
      </c>
      <c r="F317" s="26">
        <f t="shared" si="1"/>
        <v>43687</v>
      </c>
    </row>
    <row r="318">
      <c r="A318" s="10" t="s">
        <v>3210</v>
      </c>
      <c r="B318" s="25" t="s">
        <v>3211</v>
      </c>
      <c r="C318" s="10" t="s">
        <v>631</v>
      </c>
      <c r="D318" s="10" t="s">
        <v>632</v>
      </c>
      <c r="E318" s="23" t="str">
        <f>IFERROR(__xludf.DUMMYFUNCTION("REGEXEXTRACT(TO_TEXT(A318), ""(\d{2}/\d{2}/\d{4})"")"),"13/08/2019")</f>
        <v>13/08/2019</v>
      </c>
      <c r="F318" s="26">
        <f t="shared" si="1"/>
        <v>43690</v>
      </c>
    </row>
    <row r="319">
      <c r="A319" s="11" t="s">
        <v>3212</v>
      </c>
      <c r="B319" s="25" t="s">
        <v>3213</v>
      </c>
      <c r="C319" s="11" t="s">
        <v>633</v>
      </c>
      <c r="D319" s="11" t="s">
        <v>634</v>
      </c>
      <c r="E319" s="23" t="str">
        <f>IFERROR(__xludf.DUMMYFUNCTION("REGEXEXTRACT(TO_TEXT(A319), ""(\d{2}/\d{2}/\d{4})"")"),"15/08/2019")</f>
        <v>15/08/2019</v>
      </c>
      <c r="F319" s="26">
        <f t="shared" si="1"/>
        <v>43692</v>
      </c>
    </row>
    <row r="320">
      <c r="A320" s="10" t="s">
        <v>3214</v>
      </c>
      <c r="B320" s="25" t="s">
        <v>3215</v>
      </c>
      <c r="C320" s="10" t="s">
        <v>635</v>
      </c>
      <c r="D320" s="10" t="s">
        <v>636</v>
      </c>
      <c r="E320" s="23" t="str">
        <f>IFERROR(__xludf.DUMMYFUNCTION("REGEXEXTRACT(TO_TEXT(A320), ""(\d{2}/\d{2}/\d{4})"")"),"17/08/2019")</f>
        <v>17/08/2019</v>
      </c>
      <c r="F320" s="26">
        <f t="shared" si="1"/>
        <v>43694</v>
      </c>
    </row>
    <row r="321">
      <c r="A321" s="11" t="s">
        <v>3216</v>
      </c>
      <c r="B321" s="25" t="s">
        <v>3217</v>
      </c>
      <c r="C321" s="11" t="s">
        <v>637</v>
      </c>
      <c r="D321" s="11" t="s">
        <v>638</v>
      </c>
      <c r="E321" s="23" t="str">
        <f>IFERROR(__xludf.DUMMYFUNCTION("REGEXEXTRACT(TO_TEXT(A321), ""(\d{2}/\d{2}/\d{4})"")"),"20/08/2019")</f>
        <v>20/08/2019</v>
      </c>
      <c r="F321" s="26">
        <f t="shared" si="1"/>
        <v>43697</v>
      </c>
    </row>
    <row r="322">
      <c r="A322" s="10" t="s">
        <v>3218</v>
      </c>
      <c r="B322" s="25" t="s">
        <v>3219</v>
      </c>
      <c r="C322" s="10" t="s">
        <v>639</v>
      </c>
      <c r="D322" s="12" t="s">
        <v>640</v>
      </c>
      <c r="E322" s="23" t="str">
        <f>IFERROR(__xludf.DUMMYFUNCTION("REGEXEXTRACT(TO_TEXT(A322), ""(\d{2}/\d{2}/\d{4})"")"),"22/08/2019")</f>
        <v>22/08/2019</v>
      </c>
      <c r="F322" s="26">
        <f t="shared" si="1"/>
        <v>43699</v>
      </c>
    </row>
    <row r="323">
      <c r="A323" s="11" t="s">
        <v>3220</v>
      </c>
      <c r="B323" s="25" t="s">
        <v>3221</v>
      </c>
      <c r="C323" s="11" t="s">
        <v>641</v>
      </c>
      <c r="D323" s="11" t="s">
        <v>642</v>
      </c>
      <c r="E323" s="23" t="str">
        <f>IFERROR(__xludf.DUMMYFUNCTION("REGEXEXTRACT(TO_TEXT(A323), ""(\d{2}/\d{2}/\d{4})"")"),"24/08/2019")</f>
        <v>24/08/2019</v>
      </c>
      <c r="F323" s="26">
        <f t="shared" si="1"/>
        <v>43701</v>
      </c>
    </row>
    <row r="324">
      <c r="A324" s="10" t="s">
        <v>3222</v>
      </c>
      <c r="B324" s="25" t="s">
        <v>3223</v>
      </c>
      <c r="C324" s="10" t="s">
        <v>643</v>
      </c>
      <c r="D324" s="10" t="s">
        <v>644</v>
      </c>
      <c r="E324" s="23" t="str">
        <f>IFERROR(__xludf.DUMMYFUNCTION("REGEXEXTRACT(TO_TEXT(A324), ""(\d{2}/\d{2}/\d{4})"")"),"27/08/2019")</f>
        <v>27/08/2019</v>
      </c>
      <c r="F324" s="26">
        <f t="shared" si="1"/>
        <v>43704</v>
      </c>
    </row>
    <row r="325">
      <c r="A325" s="11" t="s">
        <v>3224</v>
      </c>
      <c r="B325" s="25" t="s">
        <v>3225</v>
      </c>
      <c r="C325" s="11" t="s">
        <v>645</v>
      </c>
      <c r="D325" s="11" t="s">
        <v>646</v>
      </c>
      <c r="E325" s="23" t="str">
        <f>IFERROR(__xludf.DUMMYFUNCTION("REGEXEXTRACT(TO_TEXT(A325), ""(\d{2}/\d{2}/\d{4})"")"),"29/08/2019")</f>
        <v>29/08/2019</v>
      </c>
      <c r="F325" s="26">
        <f t="shared" si="1"/>
        <v>43706</v>
      </c>
    </row>
    <row r="326">
      <c r="A326" s="10" t="s">
        <v>3226</v>
      </c>
      <c r="B326" s="25" t="s">
        <v>3227</v>
      </c>
      <c r="C326" s="10" t="s">
        <v>647</v>
      </c>
      <c r="D326" s="10" t="s">
        <v>648</v>
      </c>
      <c r="E326" s="23" t="str">
        <f>IFERROR(__xludf.DUMMYFUNCTION("REGEXEXTRACT(TO_TEXT(A326), ""(\d{2}/\d{2}/\d{4})"")"),"31/08/2019")</f>
        <v>31/08/2019</v>
      </c>
      <c r="F326" s="26">
        <f t="shared" si="1"/>
        <v>43708</v>
      </c>
    </row>
    <row r="327">
      <c r="A327" s="11" t="s">
        <v>3228</v>
      </c>
      <c r="B327" s="25" t="s">
        <v>3229</v>
      </c>
      <c r="C327" s="11" t="s">
        <v>649</v>
      </c>
      <c r="D327" s="11" t="s">
        <v>650</v>
      </c>
      <c r="E327" s="23" t="str">
        <f>IFERROR(__xludf.DUMMYFUNCTION("REGEXEXTRACT(TO_TEXT(A327), ""(\d{2}/\d{2}/\d{4})"")"),"03/09/2019")</f>
        <v>03/09/2019</v>
      </c>
      <c r="F327" s="26">
        <f t="shared" si="1"/>
        <v>43711</v>
      </c>
    </row>
    <row r="328">
      <c r="A328" s="10" t="s">
        <v>3230</v>
      </c>
      <c r="B328" s="25" t="s">
        <v>3231</v>
      </c>
      <c r="C328" s="10" t="s">
        <v>651</v>
      </c>
      <c r="D328" s="10" t="s">
        <v>652</v>
      </c>
      <c r="E328" s="23" t="str">
        <f>IFERROR(__xludf.DUMMYFUNCTION("REGEXEXTRACT(TO_TEXT(A328), ""(\d{2}/\d{2}/\d{4})"")"),"05/09/2019")</f>
        <v>05/09/2019</v>
      </c>
      <c r="F328" s="26">
        <f t="shared" si="1"/>
        <v>43713</v>
      </c>
    </row>
    <row r="329">
      <c r="A329" s="11" t="s">
        <v>3232</v>
      </c>
      <c r="B329" s="25" t="s">
        <v>3233</v>
      </c>
      <c r="C329" s="11" t="s">
        <v>653</v>
      </c>
      <c r="D329" s="11" t="s">
        <v>654</v>
      </c>
      <c r="E329" s="23" t="str">
        <f>IFERROR(__xludf.DUMMYFUNCTION("REGEXEXTRACT(TO_TEXT(A329), ""(\d{2}/\d{2}/\d{4})"")"),"07/09/2019")</f>
        <v>07/09/2019</v>
      </c>
      <c r="F329" s="26">
        <f t="shared" si="1"/>
        <v>43715</v>
      </c>
    </row>
    <row r="330">
      <c r="A330" s="10" t="s">
        <v>3234</v>
      </c>
      <c r="B330" s="25" t="s">
        <v>3235</v>
      </c>
      <c r="C330" s="10" t="s">
        <v>655</v>
      </c>
      <c r="D330" s="12" t="s">
        <v>656</v>
      </c>
      <c r="E330" s="23" t="str">
        <f>IFERROR(__xludf.DUMMYFUNCTION("REGEXEXTRACT(TO_TEXT(A330), ""(\d{2}/\d{2}/\d{4})"")"),"10/09/2019")</f>
        <v>10/09/2019</v>
      </c>
      <c r="F330" s="26">
        <f t="shared" si="1"/>
        <v>43718</v>
      </c>
    </row>
    <row r="331">
      <c r="A331" s="11" t="s">
        <v>3236</v>
      </c>
      <c r="B331" s="25" t="s">
        <v>3237</v>
      </c>
      <c r="C331" s="11" t="s">
        <v>657</v>
      </c>
      <c r="D331" s="13" t="s">
        <v>658</v>
      </c>
      <c r="E331" s="23" t="str">
        <f>IFERROR(__xludf.DUMMYFUNCTION("REGEXEXTRACT(TO_TEXT(A331), ""(\d{2}/\d{2}/\d{4})"")"),"12/09/2019")</f>
        <v>12/09/2019</v>
      </c>
      <c r="F331" s="26">
        <f t="shared" si="1"/>
        <v>43720</v>
      </c>
    </row>
    <row r="332">
      <c r="A332" s="10" t="s">
        <v>3238</v>
      </c>
      <c r="B332" s="25" t="s">
        <v>3239</v>
      </c>
      <c r="C332" s="10" t="s">
        <v>659</v>
      </c>
      <c r="D332" s="10" t="s">
        <v>660</v>
      </c>
      <c r="E332" s="23" t="str">
        <f>IFERROR(__xludf.DUMMYFUNCTION("REGEXEXTRACT(TO_TEXT(A332), ""(\d{2}/\d{2}/\d{4})"")"),"14/09/2019")</f>
        <v>14/09/2019</v>
      </c>
      <c r="F332" s="26">
        <f t="shared" si="1"/>
        <v>43722</v>
      </c>
    </row>
    <row r="333">
      <c r="A333" s="11" t="s">
        <v>3240</v>
      </c>
      <c r="B333" s="25" t="s">
        <v>3241</v>
      </c>
      <c r="C333" s="11" t="s">
        <v>661</v>
      </c>
      <c r="D333" s="11" t="s">
        <v>662</v>
      </c>
      <c r="E333" s="23" t="str">
        <f>IFERROR(__xludf.DUMMYFUNCTION("REGEXEXTRACT(TO_TEXT(A333), ""(\d{2}/\d{2}/\d{4})"")"),"17/09/2019")</f>
        <v>17/09/2019</v>
      </c>
      <c r="F333" s="26">
        <f t="shared" si="1"/>
        <v>43725</v>
      </c>
    </row>
    <row r="334">
      <c r="A334" s="10" t="s">
        <v>3242</v>
      </c>
      <c r="B334" s="25" t="s">
        <v>3243</v>
      </c>
      <c r="C334" s="10" t="s">
        <v>663</v>
      </c>
      <c r="D334" s="10" t="s">
        <v>664</v>
      </c>
      <c r="E334" s="23" t="str">
        <f>IFERROR(__xludf.DUMMYFUNCTION("REGEXEXTRACT(TO_TEXT(A334), ""(\d{2}/\d{2}/\d{4})"")"),"19/09/2019")</f>
        <v>19/09/2019</v>
      </c>
      <c r="F334" s="26">
        <f t="shared" si="1"/>
        <v>43727</v>
      </c>
    </row>
    <row r="335">
      <c r="A335" s="11" t="s">
        <v>3244</v>
      </c>
      <c r="B335" s="25" t="s">
        <v>3245</v>
      </c>
      <c r="C335" s="11" t="s">
        <v>665</v>
      </c>
      <c r="D335" s="11" t="s">
        <v>666</v>
      </c>
      <c r="E335" s="23" t="str">
        <f>IFERROR(__xludf.DUMMYFUNCTION("REGEXEXTRACT(TO_TEXT(A335), ""(\d{2}/\d{2}/\d{4})"")"),"21/09/2019")</f>
        <v>21/09/2019</v>
      </c>
      <c r="F335" s="26">
        <f t="shared" si="1"/>
        <v>43729</v>
      </c>
    </row>
    <row r="336">
      <c r="A336" s="10" t="s">
        <v>3246</v>
      </c>
      <c r="B336" s="25" t="s">
        <v>3247</v>
      </c>
      <c r="C336" s="10" t="s">
        <v>667</v>
      </c>
      <c r="D336" s="10" t="s">
        <v>668</v>
      </c>
      <c r="E336" s="23" t="str">
        <f>IFERROR(__xludf.DUMMYFUNCTION("REGEXEXTRACT(TO_TEXT(A336), ""(\d{2}/\d{2}/\d{4})"")"),"24/09/2019")</f>
        <v>24/09/2019</v>
      </c>
      <c r="F336" s="26">
        <f t="shared" si="1"/>
        <v>43732</v>
      </c>
    </row>
    <row r="337">
      <c r="A337" s="11" t="s">
        <v>3248</v>
      </c>
      <c r="B337" s="25" t="s">
        <v>3249</v>
      </c>
      <c r="C337" s="11" t="s">
        <v>669</v>
      </c>
      <c r="D337" s="11" t="s">
        <v>670</v>
      </c>
      <c r="E337" s="23" t="str">
        <f>IFERROR(__xludf.DUMMYFUNCTION("REGEXEXTRACT(TO_TEXT(A337), ""(\d{2}/\d{2}/\d{4})"")"),"26/09/2019")</f>
        <v>26/09/2019</v>
      </c>
      <c r="F337" s="26">
        <f t="shared" si="1"/>
        <v>43734</v>
      </c>
    </row>
    <row r="338">
      <c r="A338" s="10" t="s">
        <v>3250</v>
      </c>
      <c r="B338" s="25" t="s">
        <v>3251</v>
      </c>
      <c r="C338" s="10" t="s">
        <v>671</v>
      </c>
      <c r="D338" s="10" t="s">
        <v>672</v>
      </c>
      <c r="E338" s="23" t="str">
        <f>IFERROR(__xludf.DUMMYFUNCTION("REGEXEXTRACT(TO_TEXT(A338), ""(\d{2}/\d{2}/\d{4})"")"),"28/09/2019")</f>
        <v>28/09/2019</v>
      </c>
      <c r="F338" s="26">
        <f t="shared" si="1"/>
        <v>43736</v>
      </c>
    </row>
    <row r="339">
      <c r="A339" s="11" t="s">
        <v>3252</v>
      </c>
      <c r="B339" s="25" t="s">
        <v>3253</v>
      </c>
      <c r="C339" s="11" t="s">
        <v>673</v>
      </c>
      <c r="D339" s="13" t="s">
        <v>674</v>
      </c>
      <c r="E339" s="23" t="str">
        <f>IFERROR(__xludf.DUMMYFUNCTION("REGEXEXTRACT(TO_TEXT(A339), ""(\d{2}/\d{2}/\d{4})"")"),"01/10/2019")</f>
        <v>01/10/2019</v>
      </c>
      <c r="F339" s="26">
        <f t="shared" si="1"/>
        <v>43739</v>
      </c>
    </row>
    <row r="340">
      <c r="A340" s="10" t="s">
        <v>3254</v>
      </c>
      <c r="B340" s="25" t="s">
        <v>3255</v>
      </c>
      <c r="C340" s="12" t="s">
        <v>675</v>
      </c>
      <c r="D340" s="10" t="s">
        <v>676</v>
      </c>
      <c r="E340" s="23" t="str">
        <f>IFERROR(__xludf.DUMMYFUNCTION("REGEXEXTRACT(TO_TEXT(A340), ""(\d{2}/\d{2}/\d{4})"")"),"03/10/2019")</f>
        <v>03/10/2019</v>
      </c>
      <c r="F340" s="26">
        <f t="shared" si="1"/>
        <v>43741</v>
      </c>
    </row>
    <row r="341">
      <c r="A341" s="11" t="s">
        <v>3256</v>
      </c>
      <c r="B341" s="25" t="s">
        <v>3257</v>
      </c>
      <c r="C341" s="11" t="s">
        <v>677</v>
      </c>
      <c r="D341" s="13" t="s">
        <v>678</v>
      </c>
      <c r="E341" s="23" t="str">
        <f>IFERROR(__xludf.DUMMYFUNCTION("REGEXEXTRACT(TO_TEXT(A341), ""(\d{2}/\d{2}/\d{4})"")"),"05/10/2019")</f>
        <v>05/10/2019</v>
      </c>
      <c r="F341" s="26">
        <f t="shared" si="1"/>
        <v>43743</v>
      </c>
    </row>
    <row r="342">
      <c r="A342" s="10" t="s">
        <v>3258</v>
      </c>
      <c r="B342" s="25" t="s">
        <v>3259</v>
      </c>
      <c r="C342" s="10" t="s">
        <v>679</v>
      </c>
      <c r="D342" s="10" t="s">
        <v>680</v>
      </c>
      <c r="E342" s="23" t="str">
        <f>IFERROR(__xludf.DUMMYFUNCTION("REGEXEXTRACT(TO_TEXT(A342), ""(\d{2}/\d{2}/\d{4})"")"),"08/10/2019")</f>
        <v>08/10/2019</v>
      </c>
      <c r="F342" s="26">
        <f t="shared" si="1"/>
        <v>43746</v>
      </c>
    </row>
    <row r="343">
      <c r="A343" s="11" t="s">
        <v>3260</v>
      </c>
      <c r="B343" s="25" t="s">
        <v>3261</v>
      </c>
      <c r="C343" s="11" t="s">
        <v>681</v>
      </c>
      <c r="D343" s="11" t="s">
        <v>682</v>
      </c>
      <c r="E343" s="23" t="str">
        <f>IFERROR(__xludf.DUMMYFUNCTION("REGEXEXTRACT(TO_TEXT(A343), ""(\d{2}/\d{2}/\d{4})"")"),"10/10/2019")</f>
        <v>10/10/2019</v>
      </c>
      <c r="F343" s="26">
        <f t="shared" si="1"/>
        <v>43748</v>
      </c>
    </row>
    <row r="344">
      <c r="A344" s="10" t="s">
        <v>3262</v>
      </c>
      <c r="B344" s="25" t="s">
        <v>3263</v>
      </c>
      <c r="C344" s="10" t="s">
        <v>683</v>
      </c>
      <c r="D344" s="10" t="s">
        <v>684</v>
      </c>
      <c r="E344" s="23" t="str">
        <f>IFERROR(__xludf.DUMMYFUNCTION("REGEXEXTRACT(TO_TEXT(A344), ""(\d{2}/\d{2}/\d{4})"")"),"12/10/2019")</f>
        <v>12/10/2019</v>
      </c>
      <c r="F344" s="26">
        <f t="shared" si="1"/>
        <v>43750</v>
      </c>
    </row>
    <row r="345">
      <c r="A345" s="11" t="s">
        <v>3264</v>
      </c>
      <c r="B345" s="25" t="s">
        <v>3265</v>
      </c>
      <c r="C345" s="11" t="s">
        <v>685</v>
      </c>
      <c r="D345" s="11" t="s">
        <v>686</v>
      </c>
      <c r="E345" s="23" t="str">
        <f>IFERROR(__xludf.DUMMYFUNCTION("REGEXEXTRACT(TO_TEXT(A345), ""(\d{2}/\d{2}/\d{4})"")"),"15/10/2019")</f>
        <v>15/10/2019</v>
      </c>
      <c r="F345" s="26">
        <f t="shared" si="1"/>
        <v>43753</v>
      </c>
    </row>
    <row r="346">
      <c r="A346" s="10" t="s">
        <v>3266</v>
      </c>
      <c r="B346" s="25" t="s">
        <v>3267</v>
      </c>
      <c r="C346" s="10" t="s">
        <v>687</v>
      </c>
      <c r="D346" s="10" t="s">
        <v>688</v>
      </c>
      <c r="E346" s="23" t="str">
        <f>IFERROR(__xludf.DUMMYFUNCTION("REGEXEXTRACT(TO_TEXT(A346), ""(\d{2}/\d{2}/\d{4})"")"),"17/10/2019")</f>
        <v>17/10/2019</v>
      </c>
      <c r="F346" s="26">
        <f t="shared" si="1"/>
        <v>43755</v>
      </c>
    </row>
    <row r="347">
      <c r="A347" s="11" t="s">
        <v>3268</v>
      </c>
      <c r="B347" s="25" t="s">
        <v>3269</v>
      </c>
      <c r="C347" s="11" t="s">
        <v>689</v>
      </c>
      <c r="D347" s="11" t="s">
        <v>690</v>
      </c>
      <c r="E347" s="23" t="str">
        <f>IFERROR(__xludf.DUMMYFUNCTION("REGEXEXTRACT(TO_TEXT(A347), ""(\d{2}/\d{2}/\d{4})"")"),"19/10/2019")</f>
        <v>19/10/2019</v>
      </c>
      <c r="F347" s="26">
        <f t="shared" si="1"/>
        <v>43757</v>
      </c>
    </row>
    <row r="348">
      <c r="A348" s="10" t="s">
        <v>3270</v>
      </c>
      <c r="B348" s="25" t="s">
        <v>3271</v>
      </c>
      <c r="C348" s="10" t="s">
        <v>691</v>
      </c>
      <c r="D348" s="10" t="s">
        <v>692</v>
      </c>
      <c r="E348" s="23" t="str">
        <f>IFERROR(__xludf.DUMMYFUNCTION("REGEXEXTRACT(TO_TEXT(A348), ""(\d{2}/\d{2}/\d{4})"")"),"22/10/2019")</f>
        <v>22/10/2019</v>
      </c>
      <c r="F348" s="26">
        <f t="shared" si="1"/>
        <v>43760</v>
      </c>
    </row>
    <row r="349">
      <c r="A349" s="11" t="s">
        <v>3272</v>
      </c>
      <c r="B349" s="25" t="s">
        <v>3273</v>
      </c>
      <c r="C349" s="11" t="s">
        <v>693</v>
      </c>
      <c r="D349" s="11" t="s">
        <v>694</v>
      </c>
      <c r="E349" s="23" t="str">
        <f>IFERROR(__xludf.DUMMYFUNCTION("REGEXEXTRACT(TO_TEXT(A349), ""(\d{2}/\d{2}/\d{4})"")"),"24/10/2019")</f>
        <v>24/10/2019</v>
      </c>
      <c r="F349" s="26">
        <f t="shared" si="1"/>
        <v>43762</v>
      </c>
    </row>
    <row r="350">
      <c r="A350" s="10" t="s">
        <v>3274</v>
      </c>
      <c r="B350" s="25" t="s">
        <v>3275</v>
      </c>
      <c r="C350" s="10" t="s">
        <v>695</v>
      </c>
      <c r="D350" s="10" t="s">
        <v>696</v>
      </c>
      <c r="E350" s="23" t="str">
        <f>IFERROR(__xludf.DUMMYFUNCTION("REGEXEXTRACT(TO_TEXT(A350), ""(\d{2}/\d{2}/\d{4})"")"),"26/10/2019")</f>
        <v>26/10/2019</v>
      </c>
      <c r="F350" s="26">
        <f t="shared" si="1"/>
        <v>43764</v>
      </c>
    </row>
    <row r="351">
      <c r="A351" s="11" t="s">
        <v>3276</v>
      </c>
      <c r="B351" s="25" t="s">
        <v>3277</v>
      </c>
      <c r="C351" s="11" t="s">
        <v>697</v>
      </c>
      <c r="D351" s="11" t="s">
        <v>698</v>
      </c>
      <c r="E351" s="23" t="str">
        <f>IFERROR(__xludf.DUMMYFUNCTION("REGEXEXTRACT(TO_TEXT(A351), ""(\d{2}/\d{2}/\d{4})"")"),"29/10/2019")</f>
        <v>29/10/2019</v>
      </c>
      <c r="F351" s="26">
        <f t="shared" si="1"/>
        <v>43767</v>
      </c>
    </row>
    <row r="352">
      <c r="A352" s="10" t="s">
        <v>3278</v>
      </c>
      <c r="B352" s="25" t="s">
        <v>3279</v>
      </c>
      <c r="C352" s="10" t="s">
        <v>699</v>
      </c>
      <c r="D352" s="10" t="s">
        <v>700</v>
      </c>
      <c r="E352" s="23" t="str">
        <f>IFERROR(__xludf.DUMMYFUNCTION("REGEXEXTRACT(TO_TEXT(A352), ""(\d{2}/\d{2}/\d{4})"")"),"31/10/2019")</f>
        <v>31/10/2019</v>
      </c>
      <c r="F352" s="26">
        <f t="shared" si="1"/>
        <v>43769</v>
      </c>
    </row>
    <row r="353">
      <c r="A353" s="11" t="s">
        <v>3280</v>
      </c>
      <c r="B353" s="25" t="s">
        <v>3281</v>
      </c>
      <c r="C353" s="11" t="s">
        <v>701</v>
      </c>
      <c r="D353" s="11" t="s">
        <v>702</v>
      </c>
      <c r="E353" s="23" t="str">
        <f>IFERROR(__xludf.DUMMYFUNCTION("REGEXEXTRACT(TO_TEXT(A353), ""(\d{2}/\d{2}/\d{4})"")"),"02/11/2019")</f>
        <v>02/11/2019</v>
      </c>
      <c r="F353" s="26">
        <f t="shared" si="1"/>
        <v>43771</v>
      </c>
    </row>
    <row r="354">
      <c r="A354" s="10" t="s">
        <v>3282</v>
      </c>
      <c r="B354" s="25" t="s">
        <v>3283</v>
      </c>
      <c r="C354" s="10" t="s">
        <v>703</v>
      </c>
      <c r="D354" s="12" t="s">
        <v>704</v>
      </c>
      <c r="E354" s="23" t="str">
        <f>IFERROR(__xludf.DUMMYFUNCTION("REGEXEXTRACT(TO_TEXT(A354), ""(\d{2}/\d{2}/\d{4})"")"),"05/11/2019")</f>
        <v>05/11/2019</v>
      </c>
      <c r="F354" s="26">
        <f t="shared" si="1"/>
        <v>43774</v>
      </c>
    </row>
    <row r="355">
      <c r="A355" s="11" t="s">
        <v>3284</v>
      </c>
      <c r="B355" s="25" t="s">
        <v>3285</v>
      </c>
      <c r="C355" s="11" t="s">
        <v>705</v>
      </c>
      <c r="D355" s="11" t="s">
        <v>706</v>
      </c>
      <c r="E355" s="23" t="str">
        <f>IFERROR(__xludf.DUMMYFUNCTION("REGEXEXTRACT(TO_TEXT(A355), ""(\d{2}/\d{2}/\d{4})"")"),"07/11/2019")</f>
        <v>07/11/2019</v>
      </c>
      <c r="F355" s="26">
        <f t="shared" si="1"/>
        <v>43776</v>
      </c>
    </row>
    <row r="356">
      <c r="A356" s="10" t="s">
        <v>3286</v>
      </c>
      <c r="B356" s="25" t="s">
        <v>3287</v>
      </c>
      <c r="C356" s="10" t="s">
        <v>707</v>
      </c>
      <c r="D356" s="10" t="s">
        <v>708</v>
      </c>
      <c r="E356" s="23" t="str">
        <f>IFERROR(__xludf.DUMMYFUNCTION("REGEXEXTRACT(TO_TEXT(A356), ""(\d{2}/\d{2}/\d{4})"")"),"09/11/2019")</f>
        <v>09/11/2019</v>
      </c>
      <c r="F356" s="26">
        <f t="shared" si="1"/>
        <v>43778</v>
      </c>
    </row>
    <row r="357">
      <c r="A357" s="11" t="s">
        <v>3288</v>
      </c>
      <c r="B357" s="25" t="s">
        <v>3289</v>
      </c>
      <c r="C357" s="11" t="s">
        <v>709</v>
      </c>
      <c r="D357" s="11" t="s">
        <v>710</v>
      </c>
      <c r="E357" s="23" t="str">
        <f>IFERROR(__xludf.DUMMYFUNCTION("REGEXEXTRACT(TO_TEXT(A357), ""(\d{2}/\d{2}/\d{4})"")"),"12/11/2019")</f>
        <v>12/11/2019</v>
      </c>
      <c r="F357" s="26">
        <f t="shared" si="1"/>
        <v>43781</v>
      </c>
    </row>
    <row r="358">
      <c r="A358" s="10" t="s">
        <v>3290</v>
      </c>
      <c r="B358" s="25" t="s">
        <v>3291</v>
      </c>
      <c r="C358" s="10" t="s">
        <v>711</v>
      </c>
      <c r="D358" s="10" t="s">
        <v>712</v>
      </c>
      <c r="E358" s="23" t="str">
        <f>IFERROR(__xludf.DUMMYFUNCTION("REGEXEXTRACT(TO_TEXT(A358), ""(\d{2}/\d{2}/\d{4})"")"),"14/11/2019")</f>
        <v>14/11/2019</v>
      </c>
      <c r="F358" s="26">
        <f t="shared" si="1"/>
        <v>43783</v>
      </c>
    </row>
    <row r="359">
      <c r="A359" s="11" t="s">
        <v>3292</v>
      </c>
      <c r="B359" s="25" t="s">
        <v>3293</v>
      </c>
      <c r="C359" s="11" t="s">
        <v>713</v>
      </c>
      <c r="D359" s="11" t="s">
        <v>714</v>
      </c>
      <c r="E359" s="23" t="str">
        <f>IFERROR(__xludf.DUMMYFUNCTION("REGEXEXTRACT(TO_TEXT(A359), ""(\d{2}/\d{2}/\d{4})"")"),"16/11/2019")</f>
        <v>16/11/2019</v>
      </c>
      <c r="F359" s="26">
        <f t="shared" si="1"/>
        <v>43785</v>
      </c>
    </row>
    <row r="360">
      <c r="A360" s="10" t="s">
        <v>3294</v>
      </c>
      <c r="B360" s="25" t="s">
        <v>3295</v>
      </c>
      <c r="C360" s="10" t="s">
        <v>715</v>
      </c>
      <c r="D360" s="10" t="s">
        <v>716</v>
      </c>
      <c r="E360" s="23" t="str">
        <f>IFERROR(__xludf.DUMMYFUNCTION("REGEXEXTRACT(TO_TEXT(A360), ""(\d{2}/\d{2}/\d{4})"")"),"19/11/2019")</f>
        <v>19/11/2019</v>
      </c>
      <c r="F360" s="26">
        <f t="shared" si="1"/>
        <v>43788</v>
      </c>
    </row>
    <row r="361">
      <c r="A361" s="11" t="s">
        <v>3296</v>
      </c>
      <c r="B361" s="25" t="s">
        <v>3297</v>
      </c>
      <c r="C361" s="11" t="s">
        <v>717</v>
      </c>
      <c r="D361" s="11" t="s">
        <v>718</v>
      </c>
      <c r="E361" s="23" t="str">
        <f>IFERROR(__xludf.DUMMYFUNCTION("REGEXEXTRACT(TO_TEXT(A361), ""(\d{2}/\d{2}/\d{4})"")"),"21/11/2019")</f>
        <v>21/11/2019</v>
      </c>
      <c r="F361" s="26">
        <f t="shared" si="1"/>
        <v>43790</v>
      </c>
    </row>
    <row r="362">
      <c r="A362" s="10" t="s">
        <v>3298</v>
      </c>
      <c r="B362" s="25" t="s">
        <v>3299</v>
      </c>
      <c r="C362" s="10" t="s">
        <v>719</v>
      </c>
      <c r="D362" s="10" t="s">
        <v>720</v>
      </c>
      <c r="E362" s="23" t="str">
        <f>IFERROR(__xludf.DUMMYFUNCTION("REGEXEXTRACT(TO_TEXT(A362), ""(\d{2}/\d{2}/\d{4})"")"),"23/11/2019")</f>
        <v>23/11/2019</v>
      </c>
      <c r="F362" s="26">
        <f t="shared" si="1"/>
        <v>43792</v>
      </c>
    </row>
    <row r="363">
      <c r="A363" s="11" t="s">
        <v>3300</v>
      </c>
      <c r="B363" s="25" t="s">
        <v>3301</v>
      </c>
      <c r="C363" s="11" t="s">
        <v>721</v>
      </c>
      <c r="D363" s="13" t="s">
        <v>722</v>
      </c>
      <c r="E363" s="23" t="str">
        <f>IFERROR(__xludf.DUMMYFUNCTION("REGEXEXTRACT(TO_TEXT(A363), ""(\d{2}/\d{2}/\d{4})"")"),"26/11/2019")</f>
        <v>26/11/2019</v>
      </c>
      <c r="F363" s="26">
        <f t="shared" si="1"/>
        <v>43795</v>
      </c>
    </row>
    <row r="364">
      <c r="A364" s="10" t="s">
        <v>3302</v>
      </c>
      <c r="B364" s="25" t="s">
        <v>3303</v>
      </c>
      <c r="C364" s="10" t="s">
        <v>723</v>
      </c>
      <c r="D364" s="12" t="s">
        <v>724</v>
      </c>
      <c r="E364" s="23" t="str">
        <f>IFERROR(__xludf.DUMMYFUNCTION("REGEXEXTRACT(TO_TEXT(A364), ""(\d{2}/\d{2}/\d{4})"")"),"28/11/2019")</f>
        <v>28/11/2019</v>
      </c>
      <c r="F364" s="26">
        <f t="shared" si="1"/>
        <v>43797</v>
      </c>
    </row>
    <row r="365">
      <c r="A365" s="11" t="s">
        <v>3304</v>
      </c>
      <c r="B365" s="25" t="s">
        <v>3305</v>
      </c>
      <c r="C365" s="11" t="s">
        <v>725</v>
      </c>
      <c r="D365" s="11" t="s">
        <v>726</v>
      </c>
      <c r="E365" s="23" t="str">
        <f>IFERROR(__xludf.DUMMYFUNCTION("REGEXEXTRACT(TO_TEXT(A365), ""(\d{2}/\d{2}/\d{4})"")"),"30/11/2019")</f>
        <v>30/11/2019</v>
      </c>
      <c r="F365" s="26">
        <f t="shared" si="1"/>
        <v>43799</v>
      </c>
    </row>
    <row r="366">
      <c r="A366" s="10" t="s">
        <v>3306</v>
      </c>
      <c r="B366" s="25" t="s">
        <v>3307</v>
      </c>
      <c r="C366" s="10" t="s">
        <v>727</v>
      </c>
      <c r="D366" s="10" t="s">
        <v>728</v>
      </c>
      <c r="E366" s="23" t="str">
        <f>IFERROR(__xludf.DUMMYFUNCTION("REGEXEXTRACT(TO_TEXT(A366), ""(\d{2}/\d{2}/\d{4})"")"),"03/12/2019")</f>
        <v>03/12/2019</v>
      </c>
      <c r="F366" s="26">
        <f t="shared" si="1"/>
        <v>43802</v>
      </c>
    </row>
    <row r="367">
      <c r="A367" s="11" t="s">
        <v>3308</v>
      </c>
      <c r="B367" s="25" t="s">
        <v>3309</v>
      </c>
      <c r="C367" s="11" t="s">
        <v>729</v>
      </c>
      <c r="D367" s="11" t="s">
        <v>730</v>
      </c>
      <c r="E367" s="23" t="str">
        <f>IFERROR(__xludf.DUMMYFUNCTION("REGEXEXTRACT(TO_TEXT(A367), ""(\d{2}/\d{2}/\d{4})"")"),"05/12/2019")</f>
        <v>05/12/2019</v>
      </c>
      <c r="F367" s="26">
        <f t="shared" si="1"/>
        <v>43804</v>
      </c>
    </row>
    <row r="368">
      <c r="A368" s="10" t="s">
        <v>3310</v>
      </c>
      <c r="B368" s="25" t="s">
        <v>3311</v>
      </c>
      <c r="C368" s="10" t="s">
        <v>731</v>
      </c>
      <c r="D368" s="10" t="s">
        <v>732</v>
      </c>
      <c r="E368" s="23" t="str">
        <f>IFERROR(__xludf.DUMMYFUNCTION("REGEXEXTRACT(TO_TEXT(A368), ""(\d{2}/\d{2}/\d{4})"")"),"07/12/2019")</f>
        <v>07/12/2019</v>
      </c>
      <c r="F368" s="26">
        <f t="shared" si="1"/>
        <v>43806</v>
      </c>
    </row>
    <row r="369">
      <c r="A369" s="11" t="s">
        <v>3312</v>
      </c>
      <c r="B369" s="25" t="s">
        <v>3313</v>
      </c>
      <c r="C369" s="11" t="s">
        <v>733</v>
      </c>
      <c r="D369" s="11" t="s">
        <v>734</v>
      </c>
      <c r="E369" s="23" t="str">
        <f>IFERROR(__xludf.DUMMYFUNCTION("REGEXEXTRACT(TO_TEXT(A369), ""(\d{2}/\d{2}/\d{4})"")"),"10/12/2019")</f>
        <v>10/12/2019</v>
      </c>
      <c r="F369" s="26">
        <f t="shared" si="1"/>
        <v>43809</v>
      </c>
    </row>
    <row r="370">
      <c r="A370" s="10" t="s">
        <v>3314</v>
      </c>
      <c r="B370" s="25" t="s">
        <v>3315</v>
      </c>
      <c r="C370" s="10" t="s">
        <v>735</v>
      </c>
      <c r="D370" s="10" t="s">
        <v>736</v>
      </c>
      <c r="E370" s="23" t="str">
        <f>IFERROR(__xludf.DUMMYFUNCTION("REGEXEXTRACT(TO_TEXT(A370), ""(\d{2}/\d{2}/\d{4})"")"),"12/12/2019")</f>
        <v>12/12/2019</v>
      </c>
      <c r="F370" s="26">
        <f t="shared" si="1"/>
        <v>43811</v>
      </c>
    </row>
    <row r="371">
      <c r="A371" s="11" t="s">
        <v>3316</v>
      </c>
      <c r="B371" s="25" t="s">
        <v>3317</v>
      </c>
      <c r="C371" s="11" t="s">
        <v>737</v>
      </c>
      <c r="D371" s="13" t="s">
        <v>738</v>
      </c>
      <c r="E371" s="23" t="str">
        <f>IFERROR(__xludf.DUMMYFUNCTION("REGEXEXTRACT(TO_TEXT(A371), ""(\d{2}/\d{2}/\d{4})"")"),"14/12/2019")</f>
        <v>14/12/2019</v>
      </c>
      <c r="F371" s="26">
        <f t="shared" si="1"/>
        <v>43813</v>
      </c>
    </row>
    <row r="372">
      <c r="A372" s="10" t="s">
        <v>3318</v>
      </c>
      <c r="B372" s="25" t="s">
        <v>3319</v>
      </c>
      <c r="C372" s="10" t="s">
        <v>739</v>
      </c>
      <c r="D372" s="10" t="s">
        <v>740</v>
      </c>
      <c r="E372" s="23" t="str">
        <f>IFERROR(__xludf.DUMMYFUNCTION("REGEXEXTRACT(TO_TEXT(A372), ""(\d{2}/\d{2}/\d{4})"")"),"17/12/2019")</f>
        <v>17/12/2019</v>
      </c>
      <c r="F372" s="26">
        <f t="shared" si="1"/>
        <v>43816</v>
      </c>
    </row>
    <row r="373">
      <c r="A373" s="11" t="s">
        <v>3320</v>
      </c>
      <c r="B373" s="25" t="s">
        <v>3321</v>
      </c>
      <c r="C373" s="11" t="s">
        <v>741</v>
      </c>
      <c r="D373" s="11" t="s">
        <v>742</v>
      </c>
      <c r="E373" s="23" t="str">
        <f>IFERROR(__xludf.DUMMYFUNCTION("REGEXEXTRACT(TO_TEXT(A373), ""(\d{2}/\d{2}/\d{4})"")"),"19/12/2019")</f>
        <v>19/12/2019</v>
      </c>
      <c r="F373" s="26">
        <f t="shared" si="1"/>
        <v>43818</v>
      </c>
    </row>
    <row r="374">
      <c r="A374" s="10" t="s">
        <v>3322</v>
      </c>
      <c r="B374" s="25" t="s">
        <v>3323</v>
      </c>
      <c r="C374" s="10" t="s">
        <v>743</v>
      </c>
      <c r="D374" s="10" t="s">
        <v>744</v>
      </c>
      <c r="E374" s="23" t="str">
        <f>IFERROR(__xludf.DUMMYFUNCTION("REGEXEXTRACT(TO_TEXT(A374), ""(\d{2}/\d{2}/\d{4})"")"),"21/12/2019")</f>
        <v>21/12/2019</v>
      </c>
      <c r="F374" s="26">
        <f t="shared" si="1"/>
        <v>43820</v>
      </c>
    </row>
    <row r="375">
      <c r="A375" s="11" t="s">
        <v>3324</v>
      </c>
      <c r="B375" s="25" t="s">
        <v>3325</v>
      </c>
      <c r="C375" s="11" t="s">
        <v>745</v>
      </c>
      <c r="D375" s="13" t="s">
        <v>746</v>
      </c>
      <c r="E375" s="23" t="str">
        <f>IFERROR(__xludf.DUMMYFUNCTION("REGEXEXTRACT(TO_TEXT(A375), ""(\d{2}/\d{2}/\d{4})"")"),"24/12/2019")</f>
        <v>24/12/2019</v>
      </c>
      <c r="F375" s="26">
        <f t="shared" si="1"/>
        <v>43823</v>
      </c>
    </row>
    <row r="376">
      <c r="A376" s="10" t="s">
        <v>3326</v>
      </c>
      <c r="B376" s="25" t="s">
        <v>3327</v>
      </c>
      <c r="C376" s="10" t="s">
        <v>747</v>
      </c>
      <c r="D376" s="10" t="s">
        <v>748</v>
      </c>
      <c r="E376" s="23" t="str">
        <f>IFERROR(__xludf.DUMMYFUNCTION("REGEXEXTRACT(TO_TEXT(A376), ""(\d{2}/\d{2}/\d{4})"")"),"26/12/2019")</f>
        <v>26/12/2019</v>
      </c>
      <c r="F376" s="26">
        <f t="shared" si="1"/>
        <v>43825</v>
      </c>
    </row>
    <row r="377">
      <c r="A377" s="11" t="s">
        <v>3328</v>
      </c>
      <c r="B377" s="25" t="s">
        <v>3329</v>
      </c>
      <c r="C377" s="11" t="s">
        <v>749</v>
      </c>
      <c r="D377" s="11" t="s">
        <v>750</v>
      </c>
      <c r="E377" s="23" t="str">
        <f>IFERROR(__xludf.DUMMYFUNCTION("REGEXEXTRACT(TO_TEXT(A377), ""(\d{2}/\d{2}/\d{4})"")"),"28/12/2019")</f>
        <v>28/12/2019</v>
      </c>
      <c r="F377" s="26">
        <f t="shared" si="1"/>
        <v>43827</v>
      </c>
    </row>
    <row r="378">
      <c r="A378" s="10" t="s">
        <v>3330</v>
      </c>
      <c r="B378" s="25" t="s">
        <v>3331</v>
      </c>
      <c r="C378" s="10" t="s">
        <v>751</v>
      </c>
      <c r="D378" s="10" t="s">
        <v>752</v>
      </c>
      <c r="E378" s="23" t="str">
        <f>IFERROR(__xludf.DUMMYFUNCTION("REGEXEXTRACT(TO_TEXT(A378), ""(\d{2}/\d{2}/\d{4})"")"),"31/12/2019")</f>
        <v>31/12/2019</v>
      </c>
      <c r="F378" s="26">
        <f t="shared" si="1"/>
        <v>43830</v>
      </c>
    </row>
    <row r="379">
      <c r="A379" s="11" t="s">
        <v>3332</v>
      </c>
      <c r="B379" s="25" t="s">
        <v>3333</v>
      </c>
      <c r="C379" s="11" t="s">
        <v>753</v>
      </c>
      <c r="D379" s="11" t="s">
        <v>754</v>
      </c>
      <c r="E379" s="23" t="str">
        <f>IFERROR(__xludf.DUMMYFUNCTION("REGEXEXTRACT(TO_TEXT(A379), ""(\d{2}/\d{2}/\d{4})"")"),"02/01/2020")</f>
        <v>02/01/2020</v>
      </c>
      <c r="F379" s="26">
        <f t="shared" si="1"/>
        <v>43832</v>
      </c>
    </row>
    <row r="380">
      <c r="A380" s="10" t="s">
        <v>3334</v>
      </c>
      <c r="B380" s="25" t="s">
        <v>3335</v>
      </c>
      <c r="C380" s="12" t="s">
        <v>755</v>
      </c>
      <c r="D380" s="10" t="s">
        <v>756</v>
      </c>
      <c r="E380" s="23" t="str">
        <f>IFERROR(__xludf.DUMMYFUNCTION("REGEXEXTRACT(TO_TEXT(A380), ""(\d{2}/\d{2}/\d{4})"")"),"04/01/2020")</f>
        <v>04/01/2020</v>
      </c>
      <c r="F380" s="26">
        <f t="shared" si="1"/>
        <v>43834</v>
      </c>
    </row>
    <row r="381">
      <c r="A381" s="11" t="s">
        <v>3336</v>
      </c>
      <c r="B381" s="25" t="s">
        <v>3337</v>
      </c>
      <c r="C381" s="11" t="s">
        <v>757</v>
      </c>
      <c r="D381" s="11" t="s">
        <v>758</v>
      </c>
      <c r="E381" s="23" t="str">
        <f>IFERROR(__xludf.DUMMYFUNCTION("REGEXEXTRACT(TO_TEXT(A381), ""(\d{2}/\d{2}/\d{4})"")"),"07/01/2020")</f>
        <v>07/01/2020</v>
      </c>
      <c r="F381" s="26">
        <f t="shared" si="1"/>
        <v>43837</v>
      </c>
    </row>
    <row r="382">
      <c r="A382" s="10" t="s">
        <v>3338</v>
      </c>
      <c r="B382" s="25" t="s">
        <v>3339</v>
      </c>
      <c r="C382" s="10" t="s">
        <v>759</v>
      </c>
      <c r="D382" s="10" t="s">
        <v>760</v>
      </c>
      <c r="E382" s="23" t="str">
        <f>IFERROR(__xludf.DUMMYFUNCTION("REGEXEXTRACT(TO_TEXT(A382), ""(\d{2}/\d{2}/\d{4})"")"),"09/01/2020")</f>
        <v>09/01/2020</v>
      </c>
      <c r="F382" s="26">
        <f t="shared" si="1"/>
        <v>43839</v>
      </c>
    </row>
    <row r="383">
      <c r="A383" s="11" t="s">
        <v>3340</v>
      </c>
      <c r="B383" s="25" t="s">
        <v>3341</v>
      </c>
      <c r="C383" s="11" t="s">
        <v>761</v>
      </c>
      <c r="D383" s="11" t="s">
        <v>762</v>
      </c>
      <c r="E383" s="23" t="str">
        <f>IFERROR(__xludf.DUMMYFUNCTION("REGEXEXTRACT(TO_TEXT(A383), ""(\d{2}/\d{2}/\d{4})"")"),"11/01/2020")</f>
        <v>11/01/2020</v>
      </c>
      <c r="F383" s="26">
        <f t="shared" si="1"/>
        <v>43841</v>
      </c>
    </row>
    <row r="384">
      <c r="A384" s="10" t="s">
        <v>3342</v>
      </c>
      <c r="B384" s="25" t="s">
        <v>3343</v>
      </c>
      <c r="C384" s="10" t="s">
        <v>763</v>
      </c>
      <c r="D384" s="10" t="s">
        <v>764</v>
      </c>
      <c r="E384" s="23" t="str">
        <f>IFERROR(__xludf.DUMMYFUNCTION("REGEXEXTRACT(TO_TEXT(A384), ""(\d{2}/\d{2}/\d{4})"")"),"14/01/2020")</f>
        <v>14/01/2020</v>
      </c>
      <c r="F384" s="26">
        <f t="shared" si="1"/>
        <v>43844</v>
      </c>
    </row>
    <row r="385">
      <c r="A385" s="11" t="s">
        <v>3344</v>
      </c>
      <c r="B385" s="25" t="s">
        <v>3345</v>
      </c>
      <c r="C385" s="11" t="s">
        <v>765</v>
      </c>
      <c r="D385" s="11" t="s">
        <v>766</v>
      </c>
      <c r="E385" s="23" t="str">
        <f>IFERROR(__xludf.DUMMYFUNCTION("REGEXEXTRACT(TO_TEXT(A385), ""(\d{2}/\d{2}/\d{4})"")"),"16/01/2020")</f>
        <v>16/01/2020</v>
      </c>
      <c r="F385" s="26">
        <f t="shared" si="1"/>
        <v>43846</v>
      </c>
    </row>
    <row r="386">
      <c r="A386" s="10" t="s">
        <v>3346</v>
      </c>
      <c r="B386" s="25" t="s">
        <v>3347</v>
      </c>
      <c r="C386" s="10" t="s">
        <v>767</v>
      </c>
      <c r="D386" s="10" t="s">
        <v>768</v>
      </c>
      <c r="E386" s="23" t="str">
        <f>IFERROR(__xludf.DUMMYFUNCTION("REGEXEXTRACT(TO_TEXT(A386), ""(\d{2}/\d{2}/\d{4})"")"),"18/01/2020")</f>
        <v>18/01/2020</v>
      </c>
      <c r="F386" s="26">
        <f t="shared" si="1"/>
        <v>43848</v>
      </c>
    </row>
    <row r="387">
      <c r="A387" s="11" t="s">
        <v>3348</v>
      </c>
      <c r="B387" s="25" t="s">
        <v>3349</v>
      </c>
      <c r="C387" s="11" t="s">
        <v>769</v>
      </c>
      <c r="D387" s="13" t="s">
        <v>770</v>
      </c>
      <c r="E387" s="23" t="str">
        <f>IFERROR(__xludf.DUMMYFUNCTION("REGEXEXTRACT(TO_TEXT(A387), ""(\d{2}/\d{2}/\d{4})"")"),"21/01/2020")</f>
        <v>21/01/2020</v>
      </c>
      <c r="F387" s="26">
        <f t="shared" si="1"/>
        <v>43851</v>
      </c>
    </row>
    <row r="388">
      <c r="A388" s="10" t="s">
        <v>3350</v>
      </c>
      <c r="B388" s="25" t="s">
        <v>3351</v>
      </c>
      <c r="C388" s="10" t="s">
        <v>771</v>
      </c>
      <c r="D388" s="10" t="s">
        <v>772</v>
      </c>
      <c r="E388" s="23" t="str">
        <f>IFERROR(__xludf.DUMMYFUNCTION("REGEXEXTRACT(TO_TEXT(A388), ""(\d{2}/\d{2}/\d{4})"")"),"23/01/2020")</f>
        <v>23/01/2020</v>
      </c>
      <c r="F388" s="26">
        <f t="shared" si="1"/>
        <v>43853</v>
      </c>
    </row>
    <row r="389">
      <c r="A389" s="11" t="s">
        <v>3352</v>
      </c>
      <c r="B389" s="25" t="s">
        <v>3353</v>
      </c>
      <c r="C389" s="11" t="s">
        <v>773</v>
      </c>
      <c r="D389" s="11" t="s">
        <v>774</v>
      </c>
      <c r="E389" s="23" t="str">
        <f>IFERROR(__xludf.DUMMYFUNCTION("REGEXEXTRACT(TO_TEXT(A389), ""(\d{2}/\d{2}/\d{4})"")"),"28/01/2020")</f>
        <v>28/01/2020</v>
      </c>
      <c r="F389" s="26">
        <f t="shared" si="1"/>
        <v>43858</v>
      </c>
    </row>
    <row r="390">
      <c r="A390" s="10" t="s">
        <v>3354</v>
      </c>
      <c r="B390" s="25" t="s">
        <v>3355</v>
      </c>
      <c r="C390" s="10" t="s">
        <v>775</v>
      </c>
      <c r="D390" s="12" t="s">
        <v>776</v>
      </c>
      <c r="E390" s="23" t="str">
        <f>IFERROR(__xludf.DUMMYFUNCTION("REGEXEXTRACT(TO_TEXT(A390), ""(\d{2}/\d{2}/\d{4})"")"),"30/01/2020")</f>
        <v>30/01/2020</v>
      </c>
      <c r="F390" s="26">
        <f t="shared" si="1"/>
        <v>43860</v>
      </c>
    </row>
    <row r="391">
      <c r="A391" s="11" t="s">
        <v>3356</v>
      </c>
      <c r="B391" s="25" t="s">
        <v>3357</v>
      </c>
      <c r="C391" s="11" t="s">
        <v>777</v>
      </c>
      <c r="D391" s="11" t="s">
        <v>778</v>
      </c>
      <c r="E391" s="23" t="str">
        <f>IFERROR(__xludf.DUMMYFUNCTION("REGEXEXTRACT(TO_TEXT(A391), ""(\d{2}/\d{2}/\d{4})"")"),"01/02/2020")</f>
        <v>01/02/2020</v>
      </c>
      <c r="F391" s="26">
        <f t="shared" si="1"/>
        <v>43862</v>
      </c>
    </row>
    <row r="392">
      <c r="A392" s="10" t="s">
        <v>3358</v>
      </c>
      <c r="B392" s="25" t="s">
        <v>3359</v>
      </c>
      <c r="C392" s="10" t="s">
        <v>779</v>
      </c>
      <c r="D392" s="10" t="s">
        <v>780</v>
      </c>
      <c r="E392" s="23" t="str">
        <f>IFERROR(__xludf.DUMMYFUNCTION("REGEXEXTRACT(TO_TEXT(A392), ""(\d{2}/\d{2}/\d{4})"")"),"04/02/2020")</f>
        <v>04/02/2020</v>
      </c>
      <c r="F392" s="26">
        <f t="shared" si="1"/>
        <v>43865</v>
      </c>
    </row>
    <row r="393">
      <c r="A393" s="11" t="s">
        <v>3360</v>
      </c>
      <c r="B393" s="25" t="s">
        <v>3361</v>
      </c>
      <c r="C393" s="11" t="s">
        <v>781</v>
      </c>
      <c r="D393" s="13" t="s">
        <v>782</v>
      </c>
      <c r="E393" s="23" t="str">
        <f>IFERROR(__xludf.DUMMYFUNCTION("REGEXEXTRACT(TO_TEXT(A393), ""(\d{2}/\d{2}/\d{4})"")"),"06/02/2020")</f>
        <v>06/02/2020</v>
      </c>
      <c r="F393" s="26">
        <f t="shared" si="1"/>
        <v>43867</v>
      </c>
    </row>
    <row r="394">
      <c r="A394" s="10" t="s">
        <v>3362</v>
      </c>
      <c r="B394" s="25" t="s">
        <v>3363</v>
      </c>
      <c r="C394" s="10" t="s">
        <v>783</v>
      </c>
      <c r="D394" s="10" t="s">
        <v>784</v>
      </c>
      <c r="E394" s="23" t="str">
        <f>IFERROR(__xludf.DUMMYFUNCTION("REGEXEXTRACT(TO_TEXT(A394), ""(\d{2}/\d{2}/\d{4})"")"),"08/02/2020")</f>
        <v>08/02/2020</v>
      </c>
      <c r="F394" s="26">
        <f t="shared" si="1"/>
        <v>43869</v>
      </c>
    </row>
    <row r="395">
      <c r="A395" s="11" t="s">
        <v>3364</v>
      </c>
      <c r="B395" s="25" t="s">
        <v>3365</v>
      </c>
      <c r="C395" s="11" t="s">
        <v>785</v>
      </c>
      <c r="D395" s="11" t="s">
        <v>786</v>
      </c>
      <c r="E395" s="23" t="str">
        <f>IFERROR(__xludf.DUMMYFUNCTION("REGEXEXTRACT(TO_TEXT(A395), ""(\d{2}/\d{2}/\d{4})"")"),"11/02/2020")</f>
        <v>11/02/2020</v>
      </c>
      <c r="F395" s="26">
        <f t="shared" si="1"/>
        <v>43872</v>
      </c>
    </row>
    <row r="396">
      <c r="A396" s="10" t="s">
        <v>3366</v>
      </c>
      <c r="B396" s="25" t="s">
        <v>3367</v>
      </c>
      <c r="C396" s="10" t="s">
        <v>787</v>
      </c>
      <c r="D396" s="10" t="s">
        <v>788</v>
      </c>
      <c r="E396" s="23" t="str">
        <f>IFERROR(__xludf.DUMMYFUNCTION("REGEXEXTRACT(TO_TEXT(A396), ""(\d{2}/\d{2}/\d{4})"")"),"13/02/2020")</f>
        <v>13/02/2020</v>
      </c>
      <c r="F396" s="26">
        <f t="shared" si="1"/>
        <v>43874</v>
      </c>
    </row>
    <row r="397">
      <c r="A397" s="11" t="s">
        <v>3368</v>
      </c>
      <c r="B397" s="25" t="s">
        <v>3369</v>
      </c>
      <c r="C397" s="11" t="s">
        <v>789</v>
      </c>
      <c r="D397" s="11" t="s">
        <v>790</v>
      </c>
      <c r="E397" s="23" t="str">
        <f>IFERROR(__xludf.DUMMYFUNCTION("REGEXEXTRACT(TO_TEXT(A397), ""(\d{2}/\d{2}/\d{4})"")"),"15/02/2020")</f>
        <v>15/02/2020</v>
      </c>
      <c r="F397" s="26">
        <f t="shared" si="1"/>
        <v>43876</v>
      </c>
    </row>
    <row r="398">
      <c r="A398" s="10" t="s">
        <v>3370</v>
      </c>
      <c r="B398" s="25" t="s">
        <v>3371</v>
      </c>
      <c r="C398" s="10" t="s">
        <v>791</v>
      </c>
      <c r="D398" s="10" t="s">
        <v>792</v>
      </c>
      <c r="E398" s="23" t="str">
        <f>IFERROR(__xludf.DUMMYFUNCTION("REGEXEXTRACT(TO_TEXT(A398), ""(\d{2}/\d{2}/\d{4})"")"),"18/02/2020")</f>
        <v>18/02/2020</v>
      </c>
      <c r="F398" s="26">
        <f t="shared" si="1"/>
        <v>43879</v>
      </c>
    </row>
    <row r="399">
      <c r="A399" s="11" t="s">
        <v>3372</v>
      </c>
      <c r="B399" s="25" t="s">
        <v>3373</v>
      </c>
      <c r="C399" s="11" t="s">
        <v>793</v>
      </c>
      <c r="D399" s="11" t="s">
        <v>794</v>
      </c>
      <c r="E399" s="23" t="str">
        <f>IFERROR(__xludf.DUMMYFUNCTION("REGEXEXTRACT(TO_TEXT(A399), ""(\d{2}/\d{2}/\d{4})"")"),"20/02/2020")</f>
        <v>20/02/2020</v>
      </c>
      <c r="F399" s="26">
        <f t="shared" si="1"/>
        <v>43881</v>
      </c>
    </row>
    <row r="400">
      <c r="A400" s="10" t="s">
        <v>3374</v>
      </c>
      <c r="B400" s="25" t="s">
        <v>3375</v>
      </c>
      <c r="C400" s="10" t="s">
        <v>795</v>
      </c>
      <c r="D400" s="10" t="s">
        <v>796</v>
      </c>
      <c r="E400" s="23" t="str">
        <f>IFERROR(__xludf.DUMMYFUNCTION("REGEXEXTRACT(TO_TEXT(A400), ""(\d{2}/\d{2}/\d{4})"")"),"22/02/2020")</f>
        <v>22/02/2020</v>
      </c>
      <c r="F400" s="26">
        <f t="shared" si="1"/>
        <v>43883</v>
      </c>
    </row>
    <row r="401">
      <c r="A401" s="11" t="s">
        <v>3376</v>
      </c>
      <c r="B401" s="25" t="s">
        <v>3377</v>
      </c>
      <c r="C401" s="11" t="s">
        <v>797</v>
      </c>
      <c r="D401" s="11" t="s">
        <v>798</v>
      </c>
      <c r="E401" s="23" t="str">
        <f>IFERROR(__xludf.DUMMYFUNCTION("REGEXEXTRACT(TO_TEXT(A401), ""(\d{2}/\d{2}/\d{4})"")"),"25/02/2020")</f>
        <v>25/02/2020</v>
      </c>
      <c r="F401" s="26">
        <f t="shared" si="1"/>
        <v>43886</v>
      </c>
    </row>
    <row r="402">
      <c r="A402" s="10" t="s">
        <v>3378</v>
      </c>
      <c r="B402" s="25" t="s">
        <v>3379</v>
      </c>
      <c r="C402" s="10" t="s">
        <v>799</v>
      </c>
      <c r="D402" s="10" t="s">
        <v>800</v>
      </c>
      <c r="E402" s="23" t="str">
        <f>IFERROR(__xludf.DUMMYFUNCTION("REGEXEXTRACT(TO_TEXT(A402), ""(\d{2}/\d{2}/\d{4})"")"),"27/02/2020")</f>
        <v>27/02/2020</v>
      </c>
      <c r="F402" s="26">
        <f t="shared" si="1"/>
        <v>43888</v>
      </c>
    </row>
    <row r="403">
      <c r="A403" s="11" t="s">
        <v>3380</v>
      </c>
      <c r="B403" s="25" t="s">
        <v>3381</v>
      </c>
      <c r="C403" s="11" t="s">
        <v>801</v>
      </c>
      <c r="D403" s="11" t="s">
        <v>802</v>
      </c>
      <c r="E403" s="23" t="str">
        <f>IFERROR(__xludf.DUMMYFUNCTION("REGEXEXTRACT(TO_TEXT(A403), ""(\d{2}/\d{2}/\d{4})"")"),"29/02/2020")</f>
        <v>29/02/2020</v>
      </c>
      <c r="F403" s="26">
        <f t="shared" si="1"/>
        <v>43890</v>
      </c>
    </row>
    <row r="404">
      <c r="A404" s="10" t="s">
        <v>3382</v>
      </c>
      <c r="B404" s="25" t="s">
        <v>3383</v>
      </c>
      <c r="C404" s="10" t="s">
        <v>803</v>
      </c>
      <c r="D404" s="12" t="s">
        <v>804</v>
      </c>
      <c r="E404" s="23" t="str">
        <f>IFERROR(__xludf.DUMMYFUNCTION("REGEXEXTRACT(TO_TEXT(A404), ""(\d{2}/\d{2}/\d{4})"")"),"03/03/2020")</f>
        <v>03/03/2020</v>
      </c>
      <c r="F404" s="26">
        <f t="shared" si="1"/>
        <v>43893</v>
      </c>
    </row>
    <row r="405">
      <c r="A405" s="11" t="s">
        <v>3384</v>
      </c>
      <c r="B405" s="25" t="s">
        <v>3385</v>
      </c>
      <c r="C405" s="11" t="s">
        <v>805</v>
      </c>
      <c r="D405" s="11" t="s">
        <v>806</v>
      </c>
      <c r="E405" s="23" t="str">
        <f>IFERROR(__xludf.DUMMYFUNCTION("REGEXEXTRACT(TO_TEXT(A405), ""(\d{2}/\d{2}/\d{4})"")"),"05/03/2020")</f>
        <v>05/03/2020</v>
      </c>
      <c r="F405" s="26">
        <f t="shared" si="1"/>
        <v>43895</v>
      </c>
    </row>
    <row r="406">
      <c r="A406" s="10" t="s">
        <v>3386</v>
      </c>
      <c r="B406" s="25" t="s">
        <v>3387</v>
      </c>
      <c r="C406" s="10" t="s">
        <v>807</v>
      </c>
      <c r="D406" s="12" t="s">
        <v>808</v>
      </c>
      <c r="E406" s="23" t="str">
        <f>IFERROR(__xludf.DUMMYFUNCTION("REGEXEXTRACT(TO_TEXT(A406), ""(\d{2}/\d{2}/\d{4})"")"),"07/03/2020")</f>
        <v>07/03/2020</v>
      </c>
      <c r="F406" s="26">
        <f t="shared" si="1"/>
        <v>43897</v>
      </c>
    </row>
    <row r="407">
      <c r="A407" s="11" t="s">
        <v>3388</v>
      </c>
      <c r="B407" s="25" t="s">
        <v>3389</v>
      </c>
      <c r="C407" s="11" t="s">
        <v>809</v>
      </c>
      <c r="D407" s="11" t="s">
        <v>810</v>
      </c>
      <c r="E407" s="23" t="str">
        <f>IFERROR(__xludf.DUMMYFUNCTION("REGEXEXTRACT(TO_TEXT(A407), ""(\d{2}/\d{2}/\d{4})"")"),"10/03/2020")</f>
        <v>10/03/2020</v>
      </c>
      <c r="F407" s="26">
        <f t="shared" si="1"/>
        <v>43900</v>
      </c>
    </row>
    <row r="408">
      <c r="A408" s="10" t="s">
        <v>3390</v>
      </c>
      <c r="B408" s="25" t="s">
        <v>3391</v>
      </c>
      <c r="C408" s="10" t="s">
        <v>811</v>
      </c>
      <c r="D408" s="10" t="s">
        <v>812</v>
      </c>
      <c r="E408" s="23" t="str">
        <f>IFERROR(__xludf.DUMMYFUNCTION("REGEXEXTRACT(TO_TEXT(A408), ""(\d{2}/\d{2}/\d{4})"")"),"12/03/2020")</f>
        <v>12/03/2020</v>
      </c>
      <c r="F408" s="26">
        <f t="shared" si="1"/>
        <v>43902</v>
      </c>
    </row>
    <row r="409">
      <c r="A409" s="11" t="s">
        <v>3392</v>
      </c>
      <c r="B409" s="25" t="s">
        <v>3393</v>
      </c>
      <c r="C409" s="11" t="s">
        <v>813</v>
      </c>
      <c r="D409" s="11" t="s">
        <v>814</v>
      </c>
      <c r="E409" s="23" t="str">
        <f>IFERROR(__xludf.DUMMYFUNCTION("REGEXEXTRACT(TO_TEXT(A409), ""(\d{2}/\d{2}/\d{4})"")"),"14/03/2020")</f>
        <v>14/03/2020</v>
      </c>
      <c r="F409" s="26">
        <f t="shared" si="1"/>
        <v>43904</v>
      </c>
    </row>
    <row r="410">
      <c r="A410" s="10" t="s">
        <v>3394</v>
      </c>
      <c r="B410" s="25" t="s">
        <v>3395</v>
      </c>
      <c r="C410" s="10" t="s">
        <v>815</v>
      </c>
      <c r="D410" s="10" t="s">
        <v>816</v>
      </c>
      <c r="E410" s="23" t="str">
        <f>IFERROR(__xludf.DUMMYFUNCTION("REGEXEXTRACT(TO_TEXT(A410), ""(\d{2}/\d{2}/\d{4})"")"),"17/03/2020")</f>
        <v>17/03/2020</v>
      </c>
      <c r="F410" s="26">
        <f t="shared" si="1"/>
        <v>43907</v>
      </c>
    </row>
    <row r="411">
      <c r="A411" s="11" t="s">
        <v>3396</v>
      </c>
      <c r="B411" s="25" t="s">
        <v>3397</v>
      </c>
      <c r="C411" s="11" t="s">
        <v>817</v>
      </c>
      <c r="D411" s="11" t="s">
        <v>818</v>
      </c>
      <c r="E411" s="23" t="str">
        <f>IFERROR(__xludf.DUMMYFUNCTION("REGEXEXTRACT(TO_TEXT(A411), ""(\d{2}/\d{2}/\d{4})"")"),"19/03/2020")</f>
        <v>19/03/2020</v>
      </c>
      <c r="F411" s="26">
        <f t="shared" si="1"/>
        <v>43909</v>
      </c>
    </row>
    <row r="412">
      <c r="A412" s="10" t="s">
        <v>3398</v>
      </c>
      <c r="B412" s="25" t="s">
        <v>3399</v>
      </c>
      <c r="C412" s="10" t="s">
        <v>819</v>
      </c>
      <c r="D412" s="10" t="s">
        <v>820</v>
      </c>
      <c r="E412" s="23" t="str">
        <f>IFERROR(__xludf.DUMMYFUNCTION("REGEXEXTRACT(TO_TEXT(A412), ""(\d{2}/\d{2}/\d{4})"")"),"21/03/2020")</f>
        <v>21/03/2020</v>
      </c>
      <c r="F412" s="26">
        <f t="shared" si="1"/>
        <v>43911</v>
      </c>
    </row>
    <row r="413">
      <c r="A413" s="11" t="s">
        <v>3400</v>
      </c>
      <c r="B413" s="25" t="s">
        <v>3401</v>
      </c>
      <c r="C413" s="11" t="s">
        <v>821</v>
      </c>
      <c r="D413" s="11" t="s">
        <v>822</v>
      </c>
      <c r="E413" s="23" t="str">
        <f>IFERROR(__xludf.DUMMYFUNCTION("REGEXEXTRACT(TO_TEXT(A413), ""(\d{2}/\d{2}/\d{4})"")"),"24/03/2020")</f>
        <v>24/03/2020</v>
      </c>
      <c r="F413" s="26">
        <f t="shared" si="1"/>
        <v>43914</v>
      </c>
    </row>
    <row r="414">
      <c r="A414" s="10" t="s">
        <v>3402</v>
      </c>
      <c r="B414" s="25" t="s">
        <v>3403</v>
      </c>
      <c r="C414" s="10" t="s">
        <v>823</v>
      </c>
      <c r="D414" s="10" t="s">
        <v>824</v>
      </c>
      <c r="E414" s="23" t="str">
        <f>IFERROR(__xludf.DUMMYFUNCTION("REGEXEXTRACT(TO_TEXT(A414), ""(\d{2}/\d{2}/\d{4})"")"),"26/03/2020")</f>
        <v>26/03/2020</v>
      </c>
      <c r="F414" s="26">
        <f t="shared" si="1"/>
        <v>43916</v>
      </c>
    </row>
    <row r="415">
      <c r="A415" s="11" t="s">
        <v>3404</v>
      </c>
      <c r="B415" s="25" t="s">
        <v>3405</v>
      </c>
      <c r="C415" s="11" t="s">
        <v>825</v>
      </c>
      <c r="D415" s="13" t="s">
        <v>826</v>
      </c>
      <c r="E415" s="23" t="str">
        <f>IFERROR(__xludf.DUMMYFUNCTION("REGEXEXTRACT(TO_TEXT(A415), ""(\d{2}/\d{2}/\d{4})"")"),"28/03/2020")</f>
        <v>28/03/2020</v>
      </c>
      <c r="F415" s="26">
        <f t="shared" si="1"/>
        <v>43918</v>
      </c>
    </row>
    <row r="416">
      <c r="A416" s="10" t="s">
        <v>3406</v>
      </c>
      <c r="B416" s="25" t="s">
        <v>3407</v>
      </c>
      <c r="C416" s="10" t="s">
        <v>827</v>
      </c>
      <c r="D416" s="12" t="s">
        <v>828</v>
      </c>
      <c r="E416" s="23" t="str">
        <f>IFERROR(__xludf.DUMMYFUNCTION("REGEXEXTRACT(TO_TEXT(A416), ""(\d{2}/\d{2}/\d{4})"")"),"31/03/2020")</f>
        <v>31/03/2020</v>
      </c>
      <c r="F416" s="26">
        <f t="shared" si="1"/>
        <v>43921</v>
      </c>
    </row>
    <row r="417">
      <c r="A417" s="11" t="s">
        <v>3408</v>
      </c>
      <c r="B417" s="25" t="s">
        <v>3409</v>
      </c>
      <c r="C417" s="11" t="s">
        <v>829</v>
      </c>
      <c r="D417" s="11" t="s">
        <v>830</v>
      </c>
      <c r="E417" s="23" t="str">
        <f>IFERROR(__xludf.DUMMYFUNCTION("REGEXEXTRACT(TO_TEXT(A417), ""(\d{2}/\d{2}/\d{4})"")"),"25/04/2020")</f>
        <v>25/04/2020</v>
      </c>
      <c r="F417" s="26">
        <f t="shared" si="1"/>
        <v>43946</v>
      </c>
    </row>
    <row r="418">
      <c r="A418" s="10" t="s">
        <v>3410</v>
      </c>
      <c r="B418" s="25" t="s">
        <v>3411</v>
      </c>
      <c r="C418" s="10" t="s">
        <v>831</v>
      </c>
      <c r="D418" s="12" t="s">
        <v>832</v>
      </c>
      <c r="E418" s="23" t="str">
        <f>IFERROR(__xludf.DUMMYFUNCTION("REGEXEXTRACT(TO_TEXT(A418), ""(\d{2}/\d{2}/\d{4})"")"),"28/04/2020")</f>
        <v>28/04/2020</v>
      </c>
      <c r="F418" s="26">
        <f t="shared" si="1"/>
        <v>43949</v>
      </c>
    </row>
    <row r="419">
      <c r="A419" s="11" t="s">
        <v>3412</v>
      </c>
      <c r="B419" s="25" t="s">
        <v>3413</v>
      </c>
      <c r="C419" s="11" t="s">
        <v>833</v>
      </c>
      <c r="D419" s="11" t="s">
        <v>834</v>
      </c>
      <c r="E419" s="23" t="str">
        <f>IFERROR(__xludf.DUMMYFUNCTION("REGEXEXTRACT(TO_TEXT(A419), ""(\d{2}/\d{2}/\d{4})"")"),"30/04/2020")</f>
        <v>30/04/2020</v>
      </c>
      <c r="F419" s="26">
        <f t="shared" si="1"/>
        <v>43951</v>
      </c>
    </row>
    <row r="420">
      <c r="A420" s="10" t="s">
        <v>3414</v>
      </c>
      <c r="B420" s="25" t="s">
        <v>3415</v>
      </c>
      <c r="C420" s="10" t="s">
        <v>835</v>
      </c>
      <c r="D420" s="10" t="s">
        <v>836</v>
      </c>
      <c r="E420" s="23" t="str">
        <f>IFERROR(__xludf.DUMMYFUNCTION("REGEXEXTRACT(TO_TEXT(A420), ""(\d{2}/\d{2}/\d{4})"")"),"02/05/2020")</f>
        <v>02/05/2020</v>
      </c>
      <c r="F420" s="26">
        <f t="shared" si="1"/>
        <v>43953</v>
      </c>
    </row>
    <row r="421">
      <c r="A421" s="11" t="s">
        <v>3416</v>
      </c>
      <c r="B421" s="25" t="s">
        <v>3417</v>
      </c>
      <c r="C421" s="11" t="s">
        <v>837</v>
      </c>
      <c r="D421" s="13" t="s">
        <v>838</v>
      </c>
      <c r="E421" s="23" t="str">
        <f>IFERROR(__xludf.DUMMYFUNCTION("REGEXEXTRACT(TO_TEXT(A421), ""(\d{2}/\d{2}/\d{4})"")"),"05/05/2020")</f>
        <v>05/05/2020</v>
      </c>
      <c r="F421" s="26">
        <f t="shared" si="1"/>
        <v>43956</v>
      </c>
    </row>
    <row r="422">
      <c r="A422" s="10" t="s">
        <v>3418</v>
      </c>
      <c r="B422" s="25" t="s">
        <v>3419</v>
      </c>
      <c r="C422" s="10" t="s">
        <v>839</v>
      </c>
      <c r="D422" s="10" t="s">
        <v>840</v>
      </c>
      <c r="E422" s="23" t="str">
        <f>IFERROR(__xludf.DUMMYFUNCTION("REGEXEXTRACT(TO_TEXT(A422), ""(\d{2}/\d{2}/\d{4})"")"),"07/05/2020")</f>
        <v>07/05/2020</v>
      </c>
      <c r="F422" s="26">
        <f t="shared" si="1"/>
        <v>43958</v>
      </c>
    </row>
    <row r="423">
      <c r="A423" s="11" t="s">
        <v>3420</v>
      </c>
      <c r="B423" s="25" t="s">
        <v>3421</v>
      </c>
      <c r="C423" s="11" t="s">
        <v>841</v>
      </c>
      <c r="D423" s="11" t="s">
        <v>842</v>
      </c>
      <c r="E423" s="23" t="str">
        <f>IFERROR(__xludf.DUMMYFUNCTION("REGEXEXTRACT(TO_TEXT(A423), ""(\d{2}/\d{2}/\d{4})"")"),"09/05/2020")</f>
        <v>09/05/2020</v>
      </c>
      <c r="F423" s="26">
        <f t="shared" si="1"/>
        <v>43960</v>
      </c>
    </row>
    <row r="424">
      <c r="A424" s="10" t="s">
        <v>3422</v>
      </c>
      <c r="B424" s="25" t="s">
        <v>3423</v>
      </c>
      <c r="C424" s="12" t="s">
        <v>843</v>
      </c>
      <c r="D424" s="10" t="s">
        <v>844</v>
      </c>
      <c r="E424" s="23" t="str">
        <f>IFERROR(__xludf.DUMMYFUNCTION("REGEXEXTRACT(TO_TEXT(A424), ""(\d{2}/\d{2}/\d{4})"")"),"12/05/2020")</f>
        <v>12/05/2020</v>
      </c>
      <c r="F424" s="26">
        <f t="shared" si="1"/>
        <v>43963</v>
      </c>
    </row>
    <row r="425">
      <c r="A425" s="11" t="s">
        <v>3424</v>
      </c>
      <c r="B425" s="25" t="s">
        <v>3425</v>
      </c>
      <c r="C425" s="11" t="s">
        <v>845</v>
      </c>
      <c r="D425" s="11" t="s">
        <v>846</v>
      </c>
      <c r="E425" s="23" t="str">
        <f>IFERROR(__xludf.DUMMYFUNCTION("REGEXEXTRACT(TO_TEXT(A425), ""(\d{2}/\d{2}/\d{4})"")"),"14/05/2020")</f>
        <v>14/05/2020</v>
      </c>
      <c r="F425" s="26">
        <f t="shared" si="1"/>
        <v>43965</v>
      </c>
    </row>
    <row r="426">
      <c r="A426" s="10" t="s">
        <v>3426</v>
      </c>
      <c r="B426" s="25" t="s">
        <v>3427</v>
      </c>
      <c r="C426" s="10" t="s">
        <v>847</v>
      </c>
      <c r="D426" s="10" t="s">
        <v>848</v>
      </c>
      <c r="E426" s="23" t="str">
        <f>IFERROR(__xludf.DUMMYFUNCTION("REGEXEXTRACT(TO_TEXT(A426), ""(\d{2}/\d{2}/\d{4})"")"),"16/05/2020")</f>
        <v>16/05/2020</v>
      </c>
      <c r="F426" s="26">
        <f t="shared" si="1"/>
        <v>43967</v>
      </c>
    </row>
    <row r="427">
      <c r="A427" s="11" t="s">
        <v>3428</v>
      </c>
      <c r="B427" s="25" t="s">
        <v>3429</v>
      </c>
      <c r="C427" s="11" t="s">
        <v>849</v>
      </c>
      <c r="D427" s="11" t="s">
        <v>850</v>
      </c>
      <c r="E427" s="23" t="str">
        <f>IFERROR(__xludf.DUMMYFUNCTION("REGEXEXTRACT(TO_TEXT(A427), ""(\d{2}/\d{2}/\d{4})"")"),"19/05/2020")</f>
        <v>19/05/2020</v>
      </c>
      <c r="F427" s="26">
        <f t="shared" si="1"/>
        <v>43970</v>
      </c>
    </row>
    <row r="428">
      <c r="A428" s="10" t="s">
        <v>3430</v>
      </c>
      <c r="B428" s="25" t="s">
        <v>3431</v>
      </c>
      <c r="C428" s="10" t="s">
        <v>851</v>
      </c>
      <c r="D428" s="10" t="s">
        <v>852</v>
      </c>
      <c r="E428" s="23" t="str">
        <f>IFERROR(__xludf.DUMMYFUNCTION("REGEXEXTRACT(TO_TEXT(A428), ""(\d{2}/\d{2}/\d{4})"")"),"21/05/2020")</f>
        <v>21/05/2020</v>
      </c>
      <c r="F428" s="26">
        <f t="shared" si="1"/>
        <v>43972</v>
      </c>
    </row>
    <row r="429">
      <c r="A429" s="11" t="s">
        <v>3432</v>
      </c>
      <c r="B429" s="25" t="s">
        <v>3433</v>
      </c>
      <c r="C429" s="11" t="s">
        <v>853</v>
      </c>
      <c r="D429" s="11" t="s">
        <v>854</v>
      </c>
      <c r="E429" s="23" t="str">
        <f>IFERROR(__xludf.DUMMYFUNCTION("REGEXEXTRACT(TO_TEXT(A429), ""(\d{2}/\d{2}/\d{4})"")"),"23/05/2020")</f>
        <v>23/05/2020</v>
      </c>
      <c r="F429" s="26">
        <f t="shared" si="1"/>
        <v>43974</v>
      </c>
    </row>
    <row r="430">
      <c r="A430" s="10" t="s">
        <v>3434</v>
      </c>
      <c r="B430" s="25" t="s">
        <v>3435</v>
      </c>
      <c r="C430" s="10" t="s">
        <v>855</v>
      </c>
      <c r="D430" s="10" t="s">
        <v>856</v>
      </c>
      <c r="E430" s="23" t="str">
        <f>IFERROR(__xludf.DUMMYFUNCTION("REGEXEXTRACT(TO_TEXT(A430), ""(\d{2}/\d{2}/\d{4})"")"),"26/05/2020")</f>
        <v>26/05/2020</v>
      </c>
      <c r="F430" s="26">
        <f t="shared" si="1"/>
        <v>43977</v>
      </c>
    </row>
    <row r="431">
      <c r="A431" s="11" t="s">
        <v>3436</v>
      </c>
      <c r="B431" s="25" t="s">
        <v>3437</v>
      </c>
      <c r="C431" s="11" t="s">
        <v>857</v>
      </c>
      <c r="D431" s="11" t="s">
        <v>858</v>
      </c>
      <c r="E431" s="23" t="str">
        <f>IFERROR(__xludf.DUMMYFUNCTION("REGEXEXTRACT(TO_TEXT(A431), ""(\d{2}/\d{2}/\d{4})"")"),"28/05/2020")</f>
        <v>28/05/2020</v>
      </c>
      <c r="F431" s="26">
        <f t="shared" si="1"/>
        <v>43979</v>
      </c>
    </row>
    <row r="432">
      <c r="A432" s="10" t="s">
        <v>3438</v>
      </c>
      <c r="B432" s="25" t="s">
        <v>3439</v>
      </c>
      <c r="C432" s="10" t="s">
        <v>859</v>
      </c>
      <c r="D432" s="10" t="s">
        <v>860</v>
      </c>
      <c r="E432" s="23" t="str">
        <f>IFERROR(__xludf.DUMMYFUNCTION("REGEXEXTRACT(TO_TEXT(A432), ""(\d{2}/\d{2}/\d{4})"")"),"30/05/2020")</f>
        <v>30/05/2020</v>
      </c>
      <c r="F432" s="26">
        <f t="shared" si="1"/>
        <v>43981</v>
      </c>
    </row>
    <row r="433">
      <c r="A433" s="11" t="s">
        <v>3440</v>
      </c>
      <c r="B433" s="25" t="s">
        <v>3441</v>
      </c>
      <c r="C433" s="11" t="s">
        <v>861</v>
      </c>
      <c r="D433" s="11" t="s">
        <v>862</v>
      </c>
      <c r="E433" s="23" t="str">
        <f>IFERROR(__xludf.DUMMYFUNCTION("REGEXEXTRACT(TO_TEXT(A433), ""(\d{2}/\d{2}/\d{4})"")"),"02/06/2020")</f>
        <v>02/06/2020</v>
      </c>
      <c r="F433" s="26">
        <f t="shared" si="1"/>
        <v>43984</v>
      </c>
    </row>
    <row r="434">
      <c r="A434" s="10" t="s">
        <v>3442</v>
      </c>
      <c r="B434" s="25" t="s">
        <v>3443</v>
      </c>
      <c r="C434" s="10" t="s">
        <v>863</v>
      </c>
      <c r="D434" s="10" t="s">
        <v>864</v>
      </c>
      <c r="E434" s="23" t="str">
        <f>IFERROR(__xludf.DUMMYFUNCTION("REGEXEXTRACT(TO_TEXT(A434), ""(\d{2}/\d{2}/\d{4})"")"),"04/06/2020")</f>
        <v>04/06/2020</v>
      </c>
      <c r="F434" s="26">
        <f t="shared" si="1"/>
        <v>43986</v>
      </c>
    </row>
    <row r="435">
      <c r="A435" s="11" t="s">
        <v>3444</v>
      </c>
      <c r="B435" s="25" t="s">
        <v>3445</v>
      </c>
      <c r="C435" s="11" t="s">
        <v>865</v>
      </c>
      <c r="D435" s="13" t="s">
        <v>866</v>
      </c>
      <c r="E435" s="23" t="str">
        <f>IFERROR(__xludf.DUMMYFUNCTION("REGEXEXTRACT(TO_TEXT(A435), ""(\d{2}/\d{2}/\d{4})"")"),"06/06/2020")</f>
        <v>06/06/2020</v>
      </c>
      <c r="F435" s="26">
        <f t="shared" si="1"/>
        <v>43988</v>
      </c>
    </row>
    <row r="436">
      <c r="A436" s="10" t="s">
        <v>3446</v>
      </c>
      <c r="B436" s="25" t="s">
        <v>3447</v>
      </c>
      <c r="C436" s="10" t="s">
        <v>867</v>
      </c>
      <c r="D436" s="10" t="s">
        <v>868</v>
      </c>
      <c r="E436" s="23" t="str">
        <f>IFERROR(__xludf.DUMMYFUNCTION("REGEXEXTRACT(TO_TEXT(A436), ""(\d{2}/\d{2}/\d{4})"")"),"09/06/2020")</f>
        <v>09/06/2020</v>
      </c>
      <c r="F436" s="26">
        <f t="shared" si="1"/>
        <v>43991</v>
      </c>
    </row>
    <row r="437">
      <c r="A437" s="11" t="s">
        <v>3448</v>
      </c>
      <c r="B437" s="25" t="s">
        <v>3449</v>
      </c>
      <c r="C437" s="11" t="s">
        <v>869</v>
      </c>
      <c r="D437" s="11" t="s">
        <v>870</v>
      </c>
      <c r="E437" s="23" t="str">
        <f>IFERROR(__xludf.DUMMYFUNCTION("REGEXEXTRACT(TO_TEXT(A437), ""(\d{2}/\d{2}/\d{4})"")"),"11/06/2020")</f>
        <v>11/06/2020</v>
      </c>
      <c r="F437" s="26">
        <f t="shared" si="1"/>
        <v>43993</v>
      </c>
    </row>
    <row r="438">
      <c r="A438" s="10" t="s">
        <v>3450</v>
      </c>
      <c r="B438" s="25" t="s">
        <v>3451</v>
      </c>
      <c r="C438" s="10" t="s">
        <v>871</v>
      </c>
      <c r="D438" s="10" t="s">
        <v>872</v>
      </c>
      <c r="E438" s="23" t="str">
        <f>IFERROR(__xludf.DUMMYFUNCTION("REGEXEXTRACT(TO_TEXT(A438), ""(\d{2}/\d{2}/\d{4})"")"),"13/06/2020")</f>
        <v>13/06/2020</v>
      </c>
      <c r="F438" s="26">
        <f t="shared" si="1"/>
        <v>43995</v>
      </c>
    </row>
    <row r="439">
      <c r="A439" s="11" t="s">
        <v>3452</v>
      </c>
      <c r="B439" s="25" t="s">
        <v>3453</v>
      </c>
      <c r="C439" s="11" t="s">
        <v>873</v>
      </c>
      <c r="D439" s="13" t="s">
        <v>874</v>
      </c>
      <c r="E439" s="23" t="str">
        <f>IFERROR(__xludf.DUMMYFUNCTION("REGEXEXTRACT(TO_TEXT(A439), ""(\d{2}/\d{2}/\d{4})"")"),"16/06/2020")</f>
        <v>16/06/2020</v>
      </c>
      <c r="F439" s="26">
        <f t="shared" si="1"/>
        <v>43998</v>
      </c>
    </row>
    <row r="440">
      <c r="A440" s="10" t="s">
        <v>3454</v>
      </c>
      <c r="B440" s="25" t="s">
        <v>3455</v>
      </c>
      <c r="C440" s="10" t="s">
        <v>875</v>
      </c>
      <c r="D440" s="12" t="s">
        <v>876</v>
      </c>
      <c r="E440" s="23" t="str">
        <f>IFERROR(__xludf.DUMMYFUNCTION("REGEXEXTRACT(TO_TEXT(A440), ""(\d{2}/\d{2}/\d{4})"")"),"18/06/2020")</f>
        <v>18/06/2020</v>
      </c>
      <c r="F440" s="26">
        <f t="shared" si="1"/>
        <v>44000</v>
      </c>
    </row>
    <row r="441">
      <c r="A441" s="11" t="s">
        <v>3456</v>
      </c>
      <c r="B441" s="25" t="s">
        <v>3457</v>
      </c>
      <c r="C441" s="11" t="s">
        <v>877</v>
      </c>
      <c r="D441" s="11" t="s">
        <v>878</v>
      </c>
      <c r="E441" s="23" t="str">
        <f>IFERROR(__xludf.DUMMYFUNCTION("REGEXEXTRACT(TO_TEXT(A441), ""(\d{2}/\d{2}/\d{4})"")"),"20/06/2020")</f>
        <v>20/06/2020</v>
      </c>
      <c r="F441" s="26">
        <f t="shared" si="1"/>
        <v>44002</v>
      </c>
    </row>
    <row r="442">
      <c r="A442" s="10" t="s">
        <v>3458</v>
      </c>
      <c r="B442" s="25" t="s">
        <v>3459</v>
      </c>
      <c r="C442" s="10" t="s">
        <v>879</v>
      </c>
      <c r="D442" s="10" t="s">
        <v>880</v>
      </c>
      <c r="E442" s="23" t="str">
        <f>IFERROR(__xludf.DUMMYFUNCTION("REGEXEXTRACT(TO_TEXT(A442), ""(\d{2}/\d{2}/\d{4})"")"),"23/06/2020")</f>
        <v>23/06/2020</v>
      </c>
      <c r="F442" s="26">
        <f t="shared" si="1"/>
        <v>44005</v>
      </c>
    </row>
    <row r="443">
      <c r="A443" s="11" t="s">
        <v>3460</v>
      </c>
      <c r="B443" s="25" t="s">
        <v>3461</v>
      </c>
      <c r="C443" s="11" t="s">
        <v>881</v>
      </c>
      <c r="D443" s="13" t="s">
        <v>882</v>
      </c>
      <c r="E443" s="23" t="str">
        <f>IFERROR(__xludf.DUMMYFUNCTION("REGEXEXTRACT(TO_TEXT(A443), ""(\d{2}/\d{2}/\d{4})"")"),"25/06/2020")</f>
        <v>25/06/2020</v>
      </c>
      <c r="F443" s="26">
        <f t="shared" si="1"/>
        <v>44007</v>
      </c>
    </row>
    <row r="444">
      <c r="A444" s="10" t="s">
        <v>3462</v>
      </c>
      <c r="B444" s="25" t="s">
        <v>3463</v>
      </c>
      <c r="C444" s="10" t="s">
        <v>883</v>
      </c>
      <c r="D444" s="10" t="s">
        <v>884</v>
      </c>
      <c r="E444" s="23" t="str">
        <f>IFERROR(__xludf.DUMMYFUNCTION("REGEXEXTRACT(TO_TEXT(A444), ""(\d{2}/\d{2}/\d{4})"")"),"27/06/2020")</f>
        <v>27/06/2020</v>
      </c>
      <c r="F444" s="26">
        <f t="shared" si="1"/>
        <v>44009</v>
      </c>
    </row>
    <row r="445">
      <c r="A445" s="11" t="s">
        <v>3464</v>
      </c>
      <c r="B445" s="25" t="s">
        <v>3465</v>
      </c>
      <c r="C445" s="11" t="s">
        <v>885</v>
      </c>
      <c r="D445" s="11" t="s">
        <v>886</v>
      </c>
      <c r="E445" s="23" t="str">
        <f>IFERROR(__xludf.DUMMYFUNCTION("REGEXEXTRACT(TO_TEXT(A445), ""(\d{2}/\d{2}/\d{4})"")"),"30/06/2020")</f>
        <v>30/06/2020</v>
      </c>
      <c r="F445" s="26">
        <f t="shared" si="1"/>
        <v>44012</v>
      </c>
    </row>
    <row r="446">
      <c r="A446" s="10" t="s">
        <v>3466</v>
      </c>
      <c r="B446" s="25" t="s">
        <v>3467</v>
      </c>
      <c r="C446" s="10" t="s">
        <v>887</v>
      </c>
      <c r="D446" s="10" t="s">
        <v>888</v>
      </c>
      <c r="E446" s="23" t="str">
        <f>IFERROR(__xludf.DUMMYFUNCTION("REGEXEXTRACT(TO_TEXT(A446), ""(\d{2}/\d{2}/\d{4})"")"),"02/07/2020")</f>
        <v>02/07/2020</v>
      </c>
      <c r="F446" s="26">
        <f t="shared" si="1"/>
        <v>44014</v>
      </c>
    </row>
    <row r="447">
      <c r="A447" s="11" t="s">
        <v>3468</v>
      </c>
      <c r="B447" s="25" t="s">
        <v>3469</v>
      </c>
      <c r="C447" s="11" t="s">
        <v>889</v>
      </c>
      <c r="D447" s="13" t="s">
        <v>890</v>
      </c>
      <c r="E447" s="23" t="str">
        <f>IFERROR(__xludf.DUMMYFUNCTION("REGEXEXTRACT(TO_TEXT(A447), ""(\d{2}/\d{2}/\d{4})"")"),"04/07/2020")</f>
        <v>04/07/2020</v>
      </c>
      <c r="F447" s="26">
        <f t="shared" si="1"/>
        <v>44016</v>
      </c>
    </row>
    <row r="448">
      <c r="A448" s="10" t="s">
        <v>3470</v>
      </c>
      <c r="B448" s="25" t="s">
        <v>3471</v>
      </c>
      <c r="C448" s="10" t="s">
        <v>891</v>
      </c>
      <c r="D448" s="10" t="s">
        <v>892</v>
      </c>
      <c r="E448" s="23" t="str">
        <f>IFERROR(__xludf.DUMMYFUNCTION("REGEXEXTRACT(TO_TEXT(A448), ""(\d{2}/\d{2}/\d{4})"")"),"07/07/2020")</f>
        <v>07/07/2020</v>
      </c>
      <c r="F448" s="26">
        <f t="shared" si="1"/>
        <v>44019</v>
      </c>
    </row>
    <row r="449">
      <c r="A449" s="11" t="s">
        <v>3472</v>
      </c>
      <c r="B449" s="25" t="s">
        <v>3473</v>
      </c>
      <c r="C449" s="11" t="s">
        <v>893</v>
      </c>
      <c r="D449" s="13" t="s">
        <v>894</v>
      </c>
      <c r="E449" s="23" t="str">
        <f>IFERROR(__xludf.DUMMYFUNCTION("REGEXEXTRACT(TO_TEXT(A449), ""(\d{2}/\d{2}/\d{4})"")"),"09/07/2020")</f>
        <v>09/07/2020</v>
      </c>
      <c r="F449" s="26">
        <f t="shared" si="1"/>
        <v>44021</v>
      </c>
    </row>
    <row r="450">
      <c r="A450" s="10" t="s">
        <v>3474</v>
      </c>
      <c r="B450" s="25" t="s">
        <v>3475</v>
      </c>
      <c r="C450" s="10" t="s">
        <v>895</v>
      </c>
      <c r="D450" s="10" t="s">
        <v>896</v>
      </c>
      <c r="E450" s="23" t="str">
        <f>IFERROR(__xludf.DUMMYFUNCTION("REGEXEXTRACT(TO_TEXT(A450), ""(\d{2}/\d{2}/\d{4})"")"),"11/07/2020")</f>
        <v>11/07/2020</v>
      </c>
      <c r="F450" s="26">
        <f t="shared" si="1"/>
        <v>44023</v>
      </c>
    </row>
    <row r="451">
      <c r="A451" s="11" t="s">
        <v>3476</v>
      </c>
      <c r="B451" s="25" t="s">
        <v>3477</v>
      </c>
      <c r="C451" s="11" t="s">
        <v>897</v>
      </c>
      <c r="D451" s="11" t="s">
        <v>898</v>
      </c>
      <c r="E451" s="23" t="str">
        <f>IFERROR(__xludf.DUMMYFUNCTION("REGEXEXTRACT(TO_TEXT(A451), ""(\d{2}/\d{2}/\d{4})"")"),"14/07/2020")</f>
        <v>14/07/2020</v>
      </c>
      <c r="F451" s="26">
        <f t="shared" si="1"/>
        <v>44026</v>
      </c>
    </row>
    <row r="452">
      <c r="A452" s="10" t="s">
        <v>3478</v>
      </c>
      <c r="B452" s="25" t="s">
        <v>3479</v>
      </c>
      <c r="C452" s="10" t="s">
        <v>899</v>
      </c>
      <c r="D452" s="10" t="s">
        <v>900</v>
      </c>
      <c r="E452" s="23" t="str">
        <f>IFERROR(__xludf.DUMMYFUNCTION("REGEXEXTRACT(TO_TEXT(A452), ""(\d{2}/\d{2}/\d{4})"")"),"16/07/2020")</f>
        <v>16/07/2020</v>
      </c>
      <c r="F452" s="26">
        <f t="shared" si="1"/>
        <v>44028</v>
      </c>
    </row>
    <row r="453">
      <c r="A453" s="11" t="s">
        <v>3480</v>
      </c>
      <c r="B453" s="25" t="s">
        <v>3481</v>
      </c>
      <c r="C453" s="11" t="s">
        <v>901</v>
      </c>
      <c r="D453" s="11" t="s">
        <v>902</v>
      </c>
      <c r="E453" s="23" t="str">
        <f>IFERROR(__xludf.DUMMYFUNCTION("REGEXEXTRACT(TO_TEXT(A453), ""(\d{2}/\d{2}/\d{4})"")"),"18/07/2020")</f>
        <v>18/07/2020</v>
      </c>
      <c r="F453" s="26">
        <f t="shared" si="1"/>
        <v>44030</v>
      </c>
    </row>
    <row r="454">
      <c r="A454" s="10" t="s">
        <v>3482</v>
      </c>
      <c r="B454" s="25" t="s">
        <v>3483</v>
      </c>
      <c r="C454" s="10" t="s">
        <v>903</v>
      </c>
      <c r="D454" s="10" t="s">
        <v>904</v>
      </c>
      <c r="E454" s="23" t="str">
        <f>IFERROR(__xludf.DUMMYFUNCTION("REGEXEXTRACT(TO_TEXT(A454), ""(\d{2}/\d{2}/\d{4})"")"),"21/07/2020")</f>
        <v>21/07/2020</v>
      </c>
      <c r="F454" s="26">
        <f t="shared" si="1"/>
        <v>44033</v>
      </c>
    </row>
    <row r="455">
      <c r="A455" s="11" t="s">
        <v>3484</v>
      </c>
      <c r="B455" s="25" t="s">
        <v>3485</v>
      </c>
      <c r="C455" s="11" t="s">
        <v>905</v>
      </c>
      <c r="D455" s="11" t="s">
        <v>906</v>
      </c>
      <c r="E455" s="23" t="str">
        <f>IFERROR(__xludf.DUMMYFUNCTION("REGEXEXTRACT(TO_TEXT(A455), ""(\d{2}/\d{2}/\d{4})"")"),"23/07/2020")</f>
        <v>23/07/2020</v>
      </c>
      <c r="F455" s="26">
        <f t="shared" si="1"/>
        <v>44035</v>
      </c>
    </row>
    <row r="456">
      <c r="A456" s="10" t="s">
        <v>3486</v>
      </c>
      <c r="B456" s="25" t="s">
        <v>3487</v>
      </c>
      <c r="C456" s="10" t="s">
        <v>907</v>
      </c>
      <c r="D456" s="10" t="s">
        <v>908</v>
      </c>
      <c r="E456" s="23" t="str">
        <f>IFERROR(__xludf.DUMMYFUNCTION("REGEXEXTRACT(TO_TEXT(A456), ""(\d{2}/\d{2}/\d{4})"")"),"25/07/2020")</f>
        <v>25/07/2020</v>
      </c>
      <c r="F456" s="26">
        <f t="shared" si="1"/>
        <v>44037</v>
      </c>
    </row>
    <row r="457">
      <c r="A457" s="11" t="s">
        <v>3488</v>
      </c>
      <c r="B457" s="25" t="s">
        <v>3489</v>
      </c>
      <c r="C457" s="13" t="s">
        <v>909</v>
      </c>
      <c r="D457" s="13" t="s">
        <v>910</v>
      </c>
      <c r="E457" s="23" t="str">
        <f>IFERROR(__xludf.DUMMYFUNCTION("REGEXEXTRACT(TO_TEXT(A457), ""(\d{2}/\d{2}/\d{4})"")"),"28/07/2020")</f>
        <v>28/07/2020</v>
      </c>
      <c r="F457" s="26">
        <f t="shared" si="1"/>
        <v>44040</v>
      </c>
    </row>
    <row r="458">
      <c r="A458" s="10" t="s">
        <v>3490</v>
      </c>
      <c r="B458" s="25" t="s">
        <v>3491</v>
      </c>
      <c r="C458" s="10" t="s">
        <v>911</v>
      </c>
      <c r="D458" s="10" t="s">
        <v>912</v>
      </c>
      <c r="E458" s="23" t="str">
        <f>IFERROR(__xludf.DUMMYFUNCTION("REGEXEXTRACT(TO_TEXT(A458), ""(\d{2}/\d{2}/\d{4})"")"),"30/07/2020")</f>
        <v>30/07/2020</v>
      </c>
      <c r="F458" s="26">
        <f t="shared" si="1"/>
        <v>44042</v>
      </c>
    </row>
    <row r="459">
      <c r="A459" s="11" t="s">
        <v>3492</v>
      </c>
      <c r="B459" s="25" t="s">
        <v>3493</v>
      </c>
      <c r="C459" s="11" t="s">
        <v>913</v>
      </c>
      <c r="D459" s="11" t="s">
        <v>914</v>
      </c>
      <c r="E459" s="23" t="str">
        <f>IFERROR(__xludf.DUMMYFUNCTION("REGEXEXTRACT(TO_TEXT(A459), ""(\d{2}/\d{2}/\d{4})"")"),"01/08/2020")</f>
        <v>01/08/2020</v>
      </c>
      <c r="F459" s="26">
        <f t="shared" si="1"/>
        <v>44044</v>
      </c>
    </row>
    <row r="460">
      <c r="A460" s="10" t="s">
        <v>3494</v>
      </c>
      <c r="B460" s="25" t="s">
        <v>3495</v>
      </c>
      <c r="C460" s="10" t="s">
        <v>915</v>
      </c>
      <c r="D460" s="10" t="s">
        <v>916</v>
      </c>
      <c r="E460" s="23" t="str">
        <f>IFERROR(__xludf.DUMMYFUNCTION("REGEXEXTRACT(TO_TEXT(A460), ""(\d{2}/\d{2}/\d{4})"")"),"04/08/2020")</f>
        <v>04/08/2020</v>
      </c>
      <c r="F460" s="26">
        <f t="shared" si="1"/>
        <v>44047</v>
      </c>
    </row>
    <row r="461">
      <c r="A461" s="11" t="s">
        <v>3496</v>
      </c>
      <c r="B461" s="25" t="s">
        <v>3497</v>
      </c>
      <c r="C461" s="11" t="s">
        <v>917</v>
      </c>
      <c r="D461" s="11" t="s">
        <v>918</v>
      </c>
      <c r="E461" s="23" t="str">
        <f>IFERROR(__xludf.DUMMYFUNCTION("REGEXEXTRACT(TO_TEXT(A461), ""(\d{2}/\d{2}/\d{4})"")"),"06/08/2020")</f>
        <v>06/08/2020</v>
      </c>
      <c r="F461" s="26">
        <f t="shared" si="1"/>
        <v>44049</v>
      </c>
    </row>
    <row r="462">
      <c r="A462" s="10" t="s">
        <v>3498</v>
      </c>
      <c r="B462" s="25" t="s">
        <v>3499</v>
      </c>
      <c r="C462" s="10" t="s">
        <v>919</v>
      </c>
      <c r="D462" s="12" t="s">
        <v>920</v>
      </c>
      <c r="E462" s="23" t="str">
        <f>IFERROR(__xludf.DUMMYFUNCTION("REGEXEXTRACT(TO_TEXT(A462), ""(\d{2}/\d{2}/\d{4})"")"),"08/08/2020")</f>
        <v>08/08/2020</v>
      </c>
      <c r="F462" s="26">
        <f t="shared" si="1"/>
        <v>44051</v>
      </c>
    </row>
    <row r="463">
      <c r="A463" s="11" t="s">
        <v>3500</v>
      </c>
      <c r="B463" s="25" t="s">
        <v>3501</v>
      </c>
      <c r="C463" s="11" t="s">
        <v>921</v>
      </c>
      <c r="D463" s="11" t="s">
        <v>922</v>
      </c>
      <c r="E463" s="23" t="str">
        <f>IFERROR(__xludf.DUMMYFUNCTION("REGEXEXTRACT(TO_TEXT(A463), ""(\d{2}/\d{2}/\d{4})"")"),"11/08/2020")</f>
        <v>11/08/2020</v>
      </c>
      <c r="F463" s="26">
        <f t="shared" si="1"/>
        <v>44054</v>
      </c>
    </row>
    <row r="464">
      <c r="A464" s="10" t="s">
        <v>3502</v>
      </c>
      <c r="B464" s="25" t="s">
        <v>3503</v>
      </c>
      <c r="C464" s="10" t="s">
        <v>923</v>
      </c>
      <c r="D464" s="10" t="s">
        <v>924</v>
      </c>
      <c r="E464" s="23" t="str">
        <f>IFERROR(__xludf.DUMMYFUNCTION("REGEXEXTRACT(TO_TEXT(A464), ""(\d{2}/\d{2}/\d{4})"")"),"13/08/2020")</f>
        <v>13/08/2020</v>
      </c>
      <c r="F464" s="26">
        <f t="shared" si="1"/>
        <v>44056</v>
      </c>
    </row>
    <row r="465">
      <c r="A465" s="11" t="s">
        <v>3504</v>
      </c>
      <c r="B465" s="25" t="s">
        <v>3505</v>
      </c>
      <c r="C465" s="13" t="s">
        <v>925</v>
      </c>
      <c r="D465" s="11" t="s">
        <v>926</v>
      </c>
      <c r="E465" s="23" t="str">
        <f>IFERROR(__xludf.DUMMYFUNCTION("REGEXEXTRACT(TO_TEXT(A465), ""(\d{2}/\d{2}/\d{4})"")"),"15/08/2020")</f>
        <v>15/08/2020</v>
      </c>
      <c r="F465" s="26">
        <f t="shared" si="1"/>
        <v>44058</v>
      </c>
    </row>
    <row r="466">
      <c r="A466" s="10" t="s">
        <v>3506</v>
      </c>
      <c r="B466" s="25" t="s">
        <v>3507</v>
      </c>
      <c r="C466" s="10" t="s">
        <v>927</v>
      </c>
      <c r="D466" s="10" t="s">
        <v>928</v>
      </c>
      <c r="E466" s="23" t="str">
        <f>IFERROR(__xludf.DUMMYFUNCTION("REGEXEXTRACT(TO_TEXT(A466), ""(\d{2}/\d{2}/\d{4})"")"),"18/08/2020")</f>
        <v>18/08/2020</v>
      </c>
      <c r="F466" s="26">
        <f t="shared" si="1"/>
        <v>44061</v>
      </c>
    </row>
    <row r="467">
      <c r="A467" s="11" t="s">
        <v>3508</v>
      </c>
      <c r="B467" s="25" t="s">
        <v>3509</v>
      </c>
      <c r="C467" s="11" t="s">
        <v>929</v>
      </c>
      <c r="D467" s="11" t="s">
        <v>930</v>
      </c>
      <c r="E467" s="23" t="str">
        <f>IFERROR(__xludf.DUMMYFUNCTION("REGEXEXTRACT(TO_TEXT(A467), ""(\d{2}/\d{2}/\d{4})"")"),"20/08/2020")</f>
        <v>20/08/2020</v>
      </c>
      <c r="F467" s="26">
        <f t="shared" si="1"/>
        <v>44063</v>
      </c>
    </row>
    <row r="468">
      <c r="A468" s="10" t="s">
        <v>3510</v>
      </c>
      <c r="B468" s="25" t="s">
        <v>3511</v>
      </c>
      <c r="C468" s="10" t="s">
        <v>931</v>
      </c>
      <c r="D468" s="10" t="s">
        <v>932</v>
      </c>
      <c r="E468" s="23" t="str">
        <f>IFERROR(__xludf.DUMMYFUNCTION("REGEXEXTRACT(TO_TEXT(A468), ""(\d{2}/\d{2}/\d{4})"")"),"22/08/2020")</f>
        <v>22/08/2020</v>
      </c>
      <c r="F468" s="26">
        <f t="shared" si="1"/>
        <v>44065</v>
      </c>
    </row>
    <row r="469">
      <c r="A469" s="11" t="s">
        <v>3512</v>
      </c>
      <c r="B469" s="25" t="s">
        <v>3513</v>
      </c>
      <c r="C469" s="11" t="s">
        <v>933</v>
      </c>
      <c r="D469" s="11" t="s">
        <v>934</v>
      </c>
      <c r="E469" s="23" t="str">
        <f>IFERROR(__xludf.DUMMYFUNCTION("REGEXEXTRACT(TO_TEXT(A469), ""(\d{2}/\d{2}/\d{4})"")"),"25/08/2020")</f>
        <v>25/08/2020</v>
      </c>
      <c r="F469" s="26">
        <f t="shared" si="1"/>
        <v>44068</v>
      </c>
    </row>
    <row r="470">
      <c r="A470" s="10" t="s">
        <v>3514</v>
      </c>
      <c r="B470" s="25" t="s">
        <v>3515</v>
      </c>
      <c r="C470" s="10" t="s">
        <v>935</v>
      </c>
      <c r="D470" s="12" t="s">
        <v>936</v>
      </c>
      <c r="E470" s="23" t="str">
        <f>IFERROR(__xludf.DUMMYFUNCTION("REGEXEXTRACT(TO_TEXT(A470), ""(\d{2}/\d{2}/\d{4})"")"),"29/08/2020")</f>
        <v>29/08/2020</v>
      </c>
      <c r="F470" s="26">
        <f t="shared" si="1"/>
        <v>44072</v>
      </c>
    </row>
    <row r="471">
      <c r="A471" s="11" t="s">
        <v>3516</v>
      </c>
      <c r="B471" s="25" t="s">
        <v>3517</v>
      </c>
      <c r="C471" s="11" t="s">
        <v>937</v>
      </c>
      <c r="D471" s="11" t="s">
        <v>938</v>
      </c>
      <c r="E471" s="23" t="str">
        <f>IFERROR(__xludf.DUMMYFUNCTION("REGEXEXTRACT(TO_TEXT(A471), ""(\d{2}/\d{2}/\d{4})"")"),"01/09/2020")</f>
        <v>01/09/2020</v>
      </c>
      <c r="F471" s="26">
        <f t="shared" si="1"/>
        <v>44075</v>
      </c>
    </row>
    <row r="472">
      <c r="A472" s="10" t="s">
        <v>3518</v>
      </c>
      <c r="B472" s="25" t="s">
        <v>3519</v>
      </c>
      <c r="C472" s="10" t="s">
        <v>939</v>
      </c>
      <c r="D472" s="10" t="s">
        <v>940</v>
      </c>
      <c r="E472" s="23" t="str">
        <f>IFERROR(__xludf.DUMMYFUNCTION("REGEXEXTRACT(TO_TEXT(A472), ""(\d{2}/\d{2}/\d{4})"")"),"03/09/2020")</f>
        <v>03/09/2020</v>
      </c>
      <c r="F472" s="26">
        <f t="shared" si="1"/>
        <v>44077</v>
      </c>
    </row>
    <row r="473">
      <c r="A473" s="11" t="s">
        <v>3520</v>
      </c>
      <c r="B473" s="25" t="s">
        <v>3521</v>
      </c>
      <c r="C473" s="11" t="s">
        <v>941</v>
      </c>
      <c r="D473" s="11" t="s">
        <v>942</v>
      </c>
      <c r="E473" s="23" t="str">
        <f>IFERROR(__xludf.DUMMYFUNCTION("REGEXEXTRACT(TO_TEXT(A473), ""(\d{2}/\d{2}/\d{4})"")"),"05/09/2020")</f>
        <v>05/09/2020</v>
      </c>
      <c r="F473" s="26">
        <f t="shared" si="1"/>
        <v>44079</v>
      </c>
    </row>
    <row r="474">
      <c r="A474" s="10" t="s">
        <v>3522</v>
      </c>
      <c r="B474" s="25" t="s">
        <v>3523</v>
      </c>
      <c r="C474" s="10" t="s">
        <v>943</v>
      </c>
      <c r="D474" s="12" t="s">
        <v>944</v>
      </c>
      <c r="E474" s="23" t="str">
        <f>IFERROR(__xludf.DUMMYFUNCTION("REGEXEXTRACT(TO_TEXT(A474), ""(\d{2}/\d{2}/\d{4})"")"),"08/09/2020")</f>
        <v>08/09/2020</v>
      </c>
      <c r="F474" s="26">
        <f t="shared" si="1"/>
        <v>44082</v>
      </c>
    </row>
    <row r="475">
      <c r="A475" s="11" t="s">
        <v>3524</v>
      </c>
      <c r="B475" s="25" t="s">
        <v>3525</v>
      </c>
      <c r="C475" s="11" t="s">
        <v>945</v>
      </c>
      <c r="D475" s="11" t="s">
        <v>946</v>
      </c>
      <c r="E475" s="23" t="str">
        <f>IFERROR(__xludf.DUMMYFUNCTION("REGEXEXTRACT(TO_TEXT(A475), ""(\d{2}/\d{2}/\d{4})"")"),"10/09/2020")</f>
        <v>10/09/2020</v>
      </c>
      <c r="F475" s="26">
        <f t="shared" si="1"/>
        <v>44084</v>
      </c>
    </row>
    <row r="476">
      <c r="A476" s="10" t="s">
        <v>3526</v>
      </c>
      <c r="B476" s="25" t="s">
        <v>3527</v>
      </c>
      <c r="C476" s="10" t="s">
        <v>947</v>
      </c>
      <c r="D476" s="12" t="s">
        <v>948</v>
      </c>
      <c r="E476" s="23" t="str">
        <f>IFERROR(__xludf.DUMMYFUNCTION("REGEXEXTRACT(TO_TEXT(A476), ""(\d{2}/\d{2}/\d{4})"")"),"12/09/2020")</f>
        <v>12/09/2020</v>
      </c>
      <c r="F476" s="26">
        <f t="shared" si="1"/>
        <v>44086</v>
      </c>
    </row>
    <row r="477">
      <c r="A477" s="11" t="s">
        <v>3528</v>
      </c>
      <c r="B477" s="25" t="s">
        <v>3529</v>
      </c>
      <c r="C477" s="11" t="s">
        <v>949</v>
      </c>
      <c r="D477" s="11" t="s">
        <v>950</v>
      </c>
      <c r="E477" s="23" t="str">
        <f>IFERROR(__xludf.DUMMYFUNCTION("REGEXEXTRACT(TO_TEXT(A477), ""(\d{2}/\d{2}/\d{4})"")"),"15/09/2020")</f>
        <v>15/09/2020</v>
      </c>
      <c r="F477" s="26">
        <f t="shared" si="1"/>
        <v>44089</v>
      </c>
    </row>
    <row r="478">
      <c r="A478" s="10" t="s">
        <v>3530</v>
      </c>
      <c r="B478" s="25" t="s">
        <v>3531</v>
      </c>
      <c r="C478" s="10" t="s">
        <v>951</v>
      </c>
      <c r="D478" s="10" t="s">
        <v>952</v>
      </c>
      <c r="E478" s="23" t="str">
        <f>IFERROR(__xludf.DUMMYFUNCTION("REGEXEXTRACT(TO_TEXT(A478), ""(\d{2}/\d{2}/\d{4})"")"),"17/09/2020")</f>
        <v>17/09/2020</v>
      </c>
      <c r="F478" s="26">
        <f t="shared" si="1"/>
        <v>44091</v>
      </c>
    </row>
    <row r="479">
      <c r="A479" s="11" t="s">
        <v>3532</v>
      </c>
      <c r="B479" s="25" t="s">
        <v>3533</v>
      </c>
      <c r="C479" s="11" t="s">
        <v>953</v>
      </c>
      <c r="D479" s="13" t="s">
        <v>954</v>
      </c>
      <c r="E479" s="23" t="str">
        <f>IFERROR(__xludf.DUMMYFUNCTION("REGEXEXTRACT(TO_TEXT(A479), ""(\d{2}/\d{2}/\d{4})"")"),"19/09/2020")</f>
        <v>19/09/2020</v>
      </c>
      <c r="F479" s="26">
        <f t="shared" si="1"/>
        <v>44093</v>
      </c>
    </row>
    <row r="480">
      <c r="A480" s="10" t="s">
        <v>3534</v>
      </c>
      <c r="B480" s="25" t="s">
        <v>3535</v>
      </c>
      <c r="C480" s="10" t="s">
        <v>955</v>
      </c>
      <c r="D480" s="10" t="s">
        <v>956</v>
      </c>
      <c r="E480" s="23" t="str">
        <f>IFERROR(__xludf.DUMMYFUNCTION("REGEXEXTRACT(TO_TEXT(A480), ""(\d{2}/\d{2}/\d{4})"")"),"22/09/2020")</f>
        <v>22/09/2020</v>
      </c>
      <c r="F480" s="26">
        <f t="shared" si="1"/>
        <v>44096</v>
      </c>
    </row>
    <row r="481">
      <c r="A481" s="11" t="s">
        <v>3536</v>
      </c>
      <c r="B481" s="25" t="s">
        <v>3537</v>
      </c>
      <c r="C481" s="11" t="s">
        <v>957</v>
      </c>
      <c r="D481" s="11" t="s">
        <v>958</v>
      </c>
      <c r="E481" s="23" t="str">
        <f>IFERROR(__xludf.DUMMYFUNCTION("REGEXEXTRACT(TO_TEXT(A481), ""(\d{2}/\d{2}/\d{4})"")"),"24/09/2020")</f>
        <v>24/09/2020</v>
      </c>
      <c r="F481" s="26">
        <f t="shared" si="1"/>
        <v>44098</v>
      </c>
    </row>
    <row r="482">
      <c r="A482" s="10" t="s">
        <v>3538</v>
      </c>
      <c r="B482" s="25" t="s">
        <v>3539</v>
      </c>
      <c r="C482" s="10" t="s">
        <v>959</v>
      </c>
      <c r="D482" s="12" t="s">
        <v>960</v>
      </c>
      <c r="E482" s="23" t="str">
        <f>IFERROR(__xludf.DUMMYFUNCTION("REGEXEXTRACT(TO_TEXT(A482), ""(\d{2}/\d{2}/\d{4})"")"),"26/09/2020")</f>
        <v>26/09/2020</v>
      </c>
      <c r="F482" s="26">
        <f t="shared" si="1"/>
        <v>44100</v>
      </c>
    </row>
    <row r="483">
      <c r="A483" s="11" t="s">
        <v>3540</v>
      </c>
      <c r="B483" s="25" t="s">
        <v>3541</v>
      </c>
      <c r="C483" s="13" t="s">
        <v>961</v>
      </c>
      <c r="D483" s="11" t="s">
        <v>962</v>
      </c>
      <c r="E483" s="23" t="str">
        <f>IFERROR(__xludf.DUMMYFUNCTION("REGEXEXTRACT(TO_TEXT(A483), ""(\d{2}/\d{2}/\d{4})"")"),"29/09/2020")</f>
        <v>29/09/2020</v>
      </c>
      <c r="F483" s="26">
        <f t="shared" si="1"/>
        <v>44103</v>
      </c>
    </row>
    <row r="484">
      <c r="A484" s="10" t="s">
        <v>3542</v>
      </c>
      <c r="B484" s="25" t="s">
        <v>3543</v>
      </c>
      <c r="C484" s="10" t="s">
        <v>963</v>
      </c>
      <c r="D484" s="10" t="s">
        <v>964</v>
      </c>
      <c r="E484" s="23" t="str">
        <f>IFERROR(__xludf.DUMMYFUNCTION("REGEXEXTRACT(TO_TEXT(A484), ""(\d{2}/\d{2}/\d{4})"")"),"01/10/2020")</f>
        <v>01/10/2020</v>
      </c>
      <c r="F484" s="26">
        <f t="shared" si="1"/>
        <v>44105</v>
      </c>
    </row>
    <row r="485">
      <c r="A485" s="11" t="s">
        <v>3544</v>
      </c>
      <c r="B485" s="25" t="s">
        <v>3545</v>
      </c>
      <c r="C485" s="11" t="s">
        <v>965</v>
      </c>
      <c r="D485" s="11" t="s">
        <v>966</v>
      </c>
      <c r="E485" s="23" t="str">
        <f>IFERROR(__xludf.DUMMYFUNCTION("REGEXEXTRACT(TO_TEXT(A485), ""(\d{2}/\d{2}/\d{4})"")"),"03/10/2020")</f>
        <v>03/10/2020</v>
      </c>
      <c r="F485" s="26">
        <f t="shared" si="1"/>
        <v>44107</v>
      </c>
    </row>
    <row r="486">
      <c r="A486" s="10" t="s">
        <v>3546</v>
      </c>
      <c r="B486" s="25" t="s">
        <v>3547</v>
      </c>
      <c r="C486" s="10" t="s">
        <v>967</v>
      </c>
      <c r="D486" s="10" t="s">
        <v>968</v>
      </c>
      <c r="E486" s="23" t="str">
        <f>IFERROR(__xludf.DUMMYFUNCTION("REGEXEXTRACT(TO_TEXT(A486), ""(\d{2}/\d{2}/\d{4})"")"),"06/10/2020")</f>
        <v>06/10/2020</v>
      </c>
      <c r="F486" s="26">
        <f t="shared" si="1"/>
        <v>44110</v>
      </c>
    </row>
    <row r="487">
      <c r="A487" s="11" t="s">
        <v>3548</v>
      </c>
      <c r="B487" s="25" t="s">
        <v>3549</v>
      </c>
      <c r="C487" s="11" t="s">
        <v>969</v>
      </c>
      <c r="D487" s="11" t="s">
        <v>970</v>
      </c>
      <c r="E487" s="23" t="str">
        <f>IFERROR(__xludf.DUMMYFUNCTION("REGEXEXTRACT(TO_TEXT(A487), ""(\d{2}/\d{2}/\d{4})"")"),"08/10/2020")</f>
        <v>08/10/2020</v>
      </c>
      <c r="F487" s="26">
        <f t="shared" si="1"/>
        <v>44112</v>
      </c>
    </row>
    <row r="488">
      <c r="A488" s="10" t="s">
        <v>3550</v>
      </c>
      <c r="B488" s="25" t="s">
        <v>3551</v>
      </c>
      <c r="C488" s="10" t="s">
        <v>971</v>
      </c>
      <c r="D488" s="12" t="s">
        <v>972</v>
      </c>
      <c r="E488" s="23" t="str">
        <f>IFERROR(__xludf.DUMMYFUNCTION("REGEXEXTRACT(TO_TEXT(A488), ""(\d{2}/\d{2}/\d{4})"")"),"10/10/2020")</f>
        <v>10/10/2020</v>
      </c>
      <c r="F488" s="26">
        <f t="shared" si="1"/>
        <v>44114</v>
      </c>
    </row>
    <row r="489">
      <c r="A489" s="11" t="s">
        <v>3552</v>
      </c>
      <c r="B489" s="25" t="s">
        <v>3553</v>
      </c>
      <c r="C489" s="11" t="s">
        <v>973</v>
      </c>
      <c r="D489" s="11" t="s">
        <v>974</v>
      </c>
      <c r="E489" s="23" t="str">
        <f>IFERROR(__xludf.DUMMYFUNCTION("REGEXEXTRACT(TO_TEXT(A489), ""(\d{2}/\d{2}/\d{4})"")"),"13/10/2020")</f>
        <v>13/10/2020</v>
      </c>
      <c r="F489" s="26">
        <f t="shared" si="1"/>
        <v>44117</v>
      </c>
    </row>
    <row r="490">
      <c r="A490" s="10" t="s">
        <v>3554</v>
      </c>
      <c r="B490" s="25" t="s">
        <v>3555</v>
      </c>
      <c r="C490" s="10" t="s">
        <v>975</v>
      </c>
      <c r="D490" s="10" t="s">
        <v>976</v>
      </c>
      <c r="E490" s="23" t="str">
        <f>IFERROR(__xludf.DUMMYFUNCTION("REGEXEXTRACT(TO_TEXT(A490), ""(\d{2}/\d{2}/\d{4})"")"),"15/10/2020")</f>
        <v>15/10/2020</v>
      </c>
      <c r="F490" s="26">
        <f t="shared" si="1"/>
        <v>44119</v>
      </c>
    </row>
    <row r="491">
      <c r="A491" s="11" t="s">
        <v>3556</v>
      </c>
      <c r="B491" s="25" t="s">
        <v>3557</v>
      </c>
      <c r="C491" s="11" t="s">
        <v>977</v>
      </c>
      <c r="D491" s="11" t="s">
        <v>978</v>
      </c>
      <c r="E491" s="23" t="str">
        <f>IFERROR(__xludf.DUMMYFUNCTION("REGEXEXTRACT(TO_TEXT(A491), ""(\d{2}/\d{2}/\d{4})"")"),"17/10/2020")</f>
        <v>17/10/2020</v>
      </c>
      <c r="F491" s="26">
        <f t="shared" si="1"/>
        <v>44121</v>
      </c>
    </row>
    <row r="492">
      <c r="A492" s="10" t="s">
        <v>3558</v>
      </c>
      <c r="B492" s="25" t="s">
        <v>3559</v>
      </c>
      <c r="C492" s="10" t="s">
        <v>979</v>
      </c>
      <c r="D492" s="12" t="s">
        <v>980</v>
      </c>
      <c r="E492" s="23" t="str">
        <f>IFERROR(__xludf.DUMMYFUNCTION("REGEXEXTRACT(TO_TEXT(A492), ""(\d{2}/\d{2}/\d{4})"")"),"20/10/2020")</f>
        <v>20/10/2020</v>
      </c>
      <c r="F492" s="26">
        <f t="shared" si="1"/>
        <v>44124</v>
      </c>
    </row>
    <row r="493">
      <c r="A493" s="11" t="s">
        <v>3560</v>
      </c>
      <c r="B493" s="25" t="s">
        <v>3561</v>
      </c>
      <c r="C493" s="11" t="s">
        <v>981</v>
      </c>
      <c r="D493" s="11" t="s">
        <v>982</v>
      </c>
      <c r="E493" s="23" t="str">
        <f>IFERROR(__xludf.DUMMYFUNCTION("REGEXEXTRACT(TO_TEXT(A493), ""(\d{2}/\d{2}/\d{4})"")"),"22/10/2020")</f>
        <v>22/10/2020</v>
      </c>
      <c r="F493" s="26">
        <f t="shared" si="1"/>
        <v>44126</v>
      </c>
    </row>
    <row r="494">
      <c r="A494" s="10" t="s">
        <v>3562</v>
      </c>
      <c r="B494" s="25" t="s">
        <v>3563</v>
      </c>
      <c r="C494" s="10" t="s">
        <v>983</v>
      </c>
      <c r="D494" s="10" t="s">
        <v>984</v>
      </c>
      <c r="E494" s="23" t="str">
        <f>IFERROR(__xludf.DUMMYFUNCTION("REGEXEXTRACT(TO_TEXT(A494), ""(\d{2}/\d{2}/\d{4})"")"),"24/10/2020")</f>
        <v>24/10/2020</v>
      </c>
      <c r="F494" s="26">
        <f t="shared" si="1"/>
        <v>44128</v>
      </c>
    </row>
    <row r="495">
      <c r="A495" s="11" t="s">
        <v>3564</v>
      </c>
      <c r="B495" s="25" t="s">
        <v>3565</v>
      </c>
      <c r="C495" s="11" t="s">
        <v>985</v>
      </c>
      <c r="D495" s="13" t="s">
        <v>986</v>
      </c>
      <c r="E495" s="23" t="str">
        <f>IFERROR(__xludf.DUMMYFUNCTION("REGEXEXTRACT(TO_TEXT(A495), ""(\d{2}/\d{2}/\d{4})"")"),"27/10/2020")</f>
        <v>27/10/2020</v>
      </c>
      <c r="F495" s="26">
        <f t="shared" si="1"/>
        <v>44131</v>
      </c>
    </row>
    <row r="496">
      <c r="A496" s="10" t="s">
        <v>3566</v>
      </c>
      <c r="B496" s="25" t="s">
        <v>3567</v>
      </c>
      <c r="C496" s="12" t="s">
        <v>987</v>
      </c>
      <c r="D496" s="10" t="s">
        <v>988</v>
      </c>
      <c r="E496" s="23" t="str">
        <f>IFERROR(__xludf.DUMMYFUNCTION("REGEXEXTRACT(TO_TEXT(A496), ""(\d{2}/\d{2}/\d{4})"")"),"29/10/2020")</f>
        <v>29/10/2020</v>
      </c>
      <c r="F496" s="26">
        <f t="shared" si="1"/>
        <v>44133</v>
      </c>
    </row>
    <row r="497">
      <c r="A497" s="11" t="s">
        <v>3568</v>
      </c>
      <c r="B497" s="25" t="s">
        <v>3569</v>
      </c>
      <c r="C497" s="13" t="s">
        <v>989</v>
      </c>
      <c r="D497" s="11" t="s">
        <v>990</v>
      </c>
      <c r="E497" s="23" t="str">
        <f>IFERROR(__xludf.DUMMYFUNCTION("REGEXEXTRACT(TO_TEXT(A497), ""(\d{2}/\d{2}/\d{4})"")"),"31/10/2020")</f>
        <v>31/10/2020</v>
      </c>
      <c r="F497" s="26">
        <f t="shared" si="1"/>
        <v>44135</v>
      </c>
    </row>
    <row r="498">
      <c r="A498" s="10" t="s">
        <v>3570</v>
      </c>
      <c r="B498" s="25" t="s">
        <v>3571</v>
      </c>
      <c r="C498" s="10" t="s">
        <v>991</v>
      </c>
      <c r="D498" s="10" t="s">
        <v>992</v>
      </c>
      <c r="E498" s="23" t="str">
        <f>IFERROR(__xludf.DUMMYFUNCTION("REGEXEXTRACT(TO_TEXT(A498), ""(\d{2}/\d{2}/\d{4})"")"),"03/11/2020")</f>
        <v>03/11/2020</v>
      </c>
      <c r="F498" s="26">
        <f t="shared" si="1"/>
        <v>44138</v>
      </c>
    </row>
    <row r="499">
      <c r="A499" s="11" t="s">
        <v>3572</v>
      </c>
      <c r="B499" s="25" t="s">
        <v>3573</v>
      </c>
      <c r="C499" s="11" t="s">
        <v>993</v>
      </c>
      <c r="D499" s="11" t="s">
        <v>994</v>
      </c>
      <c r="E499" s="23" t="str">
        <f>IFERROR(__xludf.DUMMYFUNCTION("REGEXEXTRACT(TO_TEXT(A499), ""(\d{2}/\d{2}/\d{4})"")"),"05/11/2020")</f>
        <v>05/11/2020</v>
      </c>
      <c r="F499" s="26">
        <f t="shared" si="1"/>
        <v>44140</v>
      </c>
    </row>
    <row r="500">
      <c r="A500" s="10" t="s">
        <v>3574</v>
      </c>
      <c r="B500" s="25" t="s">
        <v>3575</v>
      </c>
      <c r="C500" s="10" t="s">
        <v>995</v>
      </c>
      <c r="D500" s="10" t="s">
        <v>996</v>
      </c>
      <c r="E500" s="23" t="str">
        <f>IFERROR(__xludf.DUMMYFUNCTION("REGEXEXTRACT(TO_TEXT(A500), ""(\d{2}/\d{2}/\d{4})"")"),"07/11/2020")</f>
        <v>07/11/2020</v>
      </c>
      <c r="F500" s="26">
        <f t="shared" si="1"/>
        <v>44142</v>
      </c>
    </row>
    <row r="501">
      <c r="A501" s="11" t="s">
        <v>3576</v>
      </c>
      <c r="B501" s="25" t="s">
        <v>3577</v>
      </c>
      <c r="C501" s="11" t="s">
        <v>997</v>
      </c>
      <c r="D501" s="11" t="s">
        <v>998</v>
      </c>
      <c r="E501" s="23" t="str">
        <f>IFERROR(__xludf.DUMMYFUNCTION("REGEXEXTRACT(TO_TEXT(A501), ""(\d{2}/\d{2}/\d{4})"")"),"10/11/2020")</f>
        <v>10/11/2020</v>
      </c>
      <c r="F501" s="26">
        <f t="shared" si="1"/>
        <v>44145</v>
      </c>
    </row>
    <row r="502">
      <c r="A502" s="10" t="s">
        <v>3578</v>
      </c>
      <c r="B502" s="25" t="s">
        <v>3579</v>
      </c>
      <c r="C502" s="10" t="s">
        <v>999</v>
      </c>
      <c r="D502" s="12" t="s">
        <v>1000</v>
      </c>
      <c r="E502" s="23" t="str">
        <f>IFERROR(__xludf.DUMMYFUNCTION("REGEXEXTRACT(TO_TEXT(A502), ""(\d{2}/\d{2}/\d{4})"")"),"12/11/2020")</f>
        <v>12/11/2020</v>
      </c>
      <c r="F502" s="26">
        <f t="shared" si="1"/>
        <v>44147</v>
      </c>
    </row>
    <row r="503">
      <c r="A503" s="11" t="s">
        <v>3580</v>
      </c>
      <c r="B503" s="25" t="s">
        <v>3581</v>
      </c>
      <c r="C503" s="11" t="s">
        <v>1001</v>
      </c>
      <c r="D503" s="11" t="s">
        <v>1002</v>
      </c>
      <c r="E503" s="23" t="str">
        <f>IFERROR(__xludf.DUMMYFUNCTION("REGEXEXTRACT(TO_TEXT(A503), ""(\d{2}/\d{2}/\d{4})"")"),"14/11/2020")</f>
        <v>14/11/2020</v>
      </c>
      <c r="F503" s="26">
        <f t="shared" si="1"/>
        <v>44149</v>
      </c>
    </row>
    <row r="504">
      <c r="A504" s="10" t="s">
        <v>3582</v>
      </c>
      <c r="B504" s="25" t="s">
        <v>3583</v>
      </c>
      <c r="C504" s="10" t="s">
        <v>1003</v>
      </c>
      <c r="D504" s="10" t="s">
        <v>1004</v>
      </c>
      <c r="E504" s="23" t="str">
        <f>IFERROR(__xludf.DUMMYFUNCTION("REGEXEXTRACT(TO_TEXT(A504), ""(\d{2}/\d{2}/\d{4})"")"),"17/11/2020")</f>
        <v>17/11/2020</v>
      </c>
      <c r="F504" s="26">
        <f t="shared" si="1"/>
        <v>44152</v>
      </c>
    </row>
    <row r="505">
      <c r="A505" s="11" t="s">
        <v>3584</v>
      </c>
      <c r="B505" s="25" t="s">
        <v>3585</v>
      </c>
      <c r="C505" s="11" t="s">
        <v>1005</v>
      </c>
      <c r="D505" s="11" t="s">
        <v>1006</v>
      </c>
      <c r="E505" s="23" t="str">
        <f>IFERROR(__xludf.DUMMYFUNCTION("REGEXEXTRACT(TO_TEXT(A505), ""(\d{2}/\d{2}/\d{4})"")"),"19/11/2020")</f>
        <v>19/11/2020</v>
      </c>
      <c r="F505" s="26">
        <f t="shared" si="1"/>
        <v>44154</v>
      </c>
    </row>
    <row r="506">
      <c r="A506" s="10" t="s">
        <v>3586</v>
      </c>
      <c r="B506" s="25" t="s">
        <v>3587</v>
      </c>
      <c r="C506" s="10" t="s">
        <v>1007</v>
      </c>
      <c r="D506" s="10" t="s">
        <v>1008</v>
      </c>
      <c r="E506" s="23" t="str">
        <f>IFERROR(__xludf.DUMMYFUNCTION("REGEXEXTRACT(TO_TEXT(A506), ""(\d{2}/\d{2}/\d{4})"")"),"21/11/2020")</f>
        <v>21/11/2020</v>
      </c>
      <c r="F506" s="26">
        <f t="shared" si="1"/>
        <v>44156</v>
      </c>
    </row>
    <row r="507">
      <c r="A507" s="11" t="s">
        <v>3588</v>
      </c>
      <c r="B507" s="25" t="s">
        <v>3589</v>
      </c>
      <c r="C507" s="11" t="s">
        <v>1009</v>
      </c>
      <c r="D507" s="11" t="s">
        <v>1010</v>
      </c>
      <c r="E507" s="23" t="str">
        <f>IFERROR(__xludf.DUMMYFUNCTION("REGEXEXTRACT(TO_TEXT(A507), ""(\d{2}/\d{2}/\d{4})"")"),"24/11/2020")</f>
        <v>24/11/2020</v>
      </c>
      <c r="F507" s="26">
        <f t="shared" si="1"/>
        <v>44159</v>
      </c>
    </row>
    <row r="508">
      <c r="A508" s="10" t="s">
        <v>3590</v>
      </c>
      <c r="B508" s="25" t="s">
        <v>3591</v>
      </c>
      <c r="C508" s="10" t="s">
        <v>1011</v>
      </c>
      <c r="D508" s="10" t="s">
        <v>1012</v>
      </c>
      <c r="E508" s="23" t="str">
        <f>IFERROR(__xludf.DUMMYFUNCTION("REGEXEXTRACT(TO_TEXT(A508), ""(\d{2}/\d{2}/\d{4})"")"),"26/11/2020")</f>
        <v>26/11/2020</v>
      </c>
      <c r="F508" s="26">
        <f t="shared" si="1"/>
        <v>44161</v>
      </c>
    </row>
    <row r="509">
      <c r="A509" s="11" t="s">
        <v>3592</v>
      </c>
      <c r="B509" s="25" t="s">
        <v>3593</v>
      </c>
      <c r="C509" s="11" t="s">
        <v>1013</v>
      </c>
      <c r="D509" s="11" t="s">
        <v>1014</v>
      </c>
      <c r="E509" s="23" t="str">
        <f>IFERROR(__xludf.DUMMYFUNCTION("REGEXEXTRACT(TO_TEXT(A509), ""(\d{2}/\d{2}/\d{4})"")"),"28/11/2020")</f>
        <v>28/11/2020</v>
      </c>
      <c r="F509" s="26">
        <f t="shared" si="1"/>
        <v>44163</v>
      </c>
    </row>
    <row r="510">
      <c r="A510" s="10" t="s">
        <v>3594</v>
      </c>
      <c r="B510" s="25" t="s">
        <v>3595</v>
      </c>
      <c r="C510" s="10" t="s">
        <v>1015</v>
      </c>
      <c r="D510" s="12" t="s">
        <v>1016</v>
      </c>
      <c r="E510" s="23" t="str">
        <f>IFERROR(__xludf.DUMMYFUNCTION("REGEXEXTRACT(TO_TEXT(A510), ""(\d{2}/\d{2}/\d{4})"")"),"01/12/2020")</f>
        <v>01/12/2020</v>
      </c>
      <c r="F510" s="26">
        <f t="shared" si="1"/>
        <v>44166</v>
      </c>
    </row>
    <row r="511">
      <c r="A511" s="11" t="s">
        <v>3596</v>
      </c>
      <c r="B511" s="25" t="s">
        <v>3597</v>
      </c>
      <c r="C511" s="11" t="s">
        <v>1017</v>
      </c>
      <c r="D511" s="13" t="s">
        <v>1018</v>
      </c>
      <c r="E511" s="23" t="str">
        <f>IFERROR(__xludf.DUMMYFUNCTION("REGEXEXTRACT(TO_TEXT(A511), ""(\d{2}/\d{2}/\d{4})"")"),"03/12/2020")</f>
        <v>03/12/2020</v>
      </c>
      <c r="F511" s="26">
        <f t="shared" si="1"/>
        <v>44168</v>
      </c>
    </row>
    <row r="512">
      <c r="A512" s="10" t="s">
        <v>3598</v>
      </c>
      <c r="B512" s="25" t="s">
        <v>3599</v>
      </c>
      <c r="C512" s="10" t="s">
        <v>1019</v>
      </c>
      <c r="D512" s="10" t="s">
        <v>1020</v>
      </c>
      <c r="E512" s="23" t="str">
        <f>IFERROR(__xludf.DUMMYFUNCTION("REGEXEXTRACT(TO_TEXT(A512), ""(\d{2}/\d{2}/\d{4})"")"),"05/12/2020")</f>
        <v>05/12/2020</v>
      </c>
      <c r="F512" s="26">
        <f t="shared" si="1"/>
        <v>44170</v>
      </c>
    </row>
    <row r="513">
      <c r="A513" s="11" t="s">
        <v>3600</v>
      </c>
      <c r="B513" s="25" t="s">
        <v>3601</v>
      </c>
      <c r="C513" s="11" t="s">
        <v>1021</v>
      </c>
      <c r="D513" s="13" t="s">
        <v>1022</v>
      </c>
      <c r="E513" s="23" t="str">
        <f>IFERROR(__xludf.DUMMYFUNCTION("REGEXEXTRACT(TO_TEXT(A513), ""(\d{2}/\d{2}/\d{4})"")"),"08/12/2020")</f>
        <v>08/12/2020</v>
      </c>
      <c r="F513" s="26">
        <f t="shared" si="1"/>
        <v>44173</v>
      </c>
    </row>
    <row r="514">
      <c r="A514" s="10" t="s">
        <v>3602</v>
      </c>
      <c r="B514" s="25" t="s">
        <v>3603</v>
      </c>
      <c r="C514" s="10" t="s">
        <v>1023</v>
      </c>
      <c r="D514" s="12" t="s">
        <v>1024</v>
      </c>
      <c r="E514" s="23" t="str">
        <f>IFERROR(__xludf.DUMMYFUNCTION("REGEXEXTRACT(TO_TEXT(A514), ""(\d{2}/\d{2}/\d{4})"")"),"10/12/2020")</f>
        <v>10/12/2020</v>
      </c>
      <c r="F514" s="26">
        <f t="shared" si="1"/>
        <v>44175</v>
      </c>
    </row>
    <row r="515">
      <c r="A515" s="11" t="s">
        <v>3604</v>
      </c>
      <c r="B515" s="25" t="s">
        <v>3605</v>
      </c>
      <c r="C515" s="11" t="s">
        <v>1025</v>
      </c>
      <c r="D515" s="11" t="s">
        <v>1026</v>
      </c>
      <c r="E515" s="23" t="str">
        <f>IFERROR(__xludf.DUMMYFUNCTION("REGEXEXTRACT(TO_TEXT(A515), ""(\d{2}/\d{2}/\d{4})"")"),"12/12/2020")</f>
        <v>12/12/2020</v>
      </c>
      <c r="F515" s="26">
        <f t="shared" si="1"/>
        <v>44177</v>
      </c>
    </row>
    <row r="516">
      <c r="A516" s="10" t="s">
        <v>3606</v>
      </c>
      <c r="B516" s="25" t="s">
        <v>3607</v>
      </c>
      <c r="C516" s="10" t="s">
        <v>1027</v>
      </c>
      <c r="D516" s="10" t="s">
        <v>1028</v>
      </c>
      <c r="E516" s="23" t="str">
        <f>IFERROR(__xludf.DUMMYFUNCTION("REGEXEXTRACT(TO_TEXT(A516), ""(\d{2}/\d{2}/\d{4})"")"),"15/12/2020")</f>
        <v>15/12/2020</v>
      </c>
      <c r="F516" s="26">
        <f t="shared" si="1"/>
        <v>44180</v>
      </c>
    </row>
    <row r="517">
      <c r="A517" s="11" t="s">
        <v>3608</v>
      </c>
      <c r="B517" s="25" t="s">
        <v>3609</v>
      </c>
      <c r="C517" s="11" t="s">
        <v>1029</v>
      </c>
      <c r="D517" s="11" t="s">
        <v>1030</v>
      </c>
      <c r="E517" s="23" t="str">
        <f>IFERROR(__xludf.DUMMYFUNCTION("REGEXEXTRACT(TO_TEXT(A517), ""(\d{2}/\d{2}/\d{4})"")"),"17/12/2020")</f>
        <v>17/12/2020</v>
      </c>
      <c r="F517" s="26">
        <f t="shared" si="1"/>
        <v>44182</v>
      </c>
    </row>
    <row r="518">
      <c r="A518" s="10" t="s">
        <v>3610</v>
      </c>
      <c r="B518" s="25" t="s">
        <v>3611</v>
      </c>
      <c r="C518" s="10" t="s">
        <v>1031</v>
      </c>
      <c r="D518" s="10" t="s">
        <v>1032</v>
      </c>
      <c r="E518" s="23" t="str">
        <f>IFERROR(__xludf.DUMMYFUNCTION("REGEXEXTRACT(TO_TEXT(A518), ""(\d{2}/\d{2}/\d{4})"")"),"19/12/2020")</f>
        <v>19/12/2020</v>
      </c>
      <c r="F518" s="26">
        <f t="shared" si="1"/>
        <v>44184</v>
      </c>
    </row>
    <row r="519">
      <c r="A519" s="11" t="s">
        <v>3612</v>
      </c>
      <c r="B519" s="25" t="s">
        <v>3613</v>
      </c>
      <c r="C519" s="11" t="s">
        <v>1033</v>
      </c>
      <c r="D519" s="13" t="s">
        <v>1034</v>
      </c>
      <c r="E519" s="23" t="str">
        <f>IFERROR(__xludf.DUMMYFUNCTION("REGEXEXTRACT(TO_TEXT(A519), ""(\d{2}/\d{2}/\d{4})"")"),"22/12/2020")</f>
        <v>22/12/2020</v>
      </c>
      <c r="F519" s="26">
        <f t="shared" si="1"/>
        <v>44187</v>
      </c>
    </row>
    <row r="520">
      <c r="A520" s="10" t="s">
        <v>3614</v>
      </c>
      <c r="B520" s="25" t="s">
        <v>3615</v>
      </c>
      <c r="C520" s="10" t="s">
        <v>1035</v>
      </c>
      <c r="D520" s="10" t="s">
        <v>1036</v>
      </c>
      <c r="E520" s="23" t="str">
        <f>IFERROR(__xludf.DUMMYFUNCTION("REGEXEXTRACT(TO_TEXT(A520), ""(\d{2}/\d{2}/\d{4})"")"),"24/12/2020")</f>
        <v>24/12/2020</v>
      </c>
      <c r="F520" s="26">
        <f t="shared" si="1"/>
        <v>44189</v>
      </c>
    </row>
    <row r="521">
      <c r="A521" s="11" t="s">
        <v>3616</v>
      </c>
      <c r="B521" s="25" t="s">
        <v>3617</v>
      </c>
      <c r="C521" s="11" t="s">
        <v>1037</v>
      </c>
      <c r="D521" s="13" t="s">
        <v>1038</v>
      </c>
      <c r="E521" s="23" t="str">
        <f>IFERROR(__xludf.DUMMYFUNCTION("REGEXEXTRACT(TO_TEXT(A521), ""(\d{2}/\d{2}/\d{4})"")"),"26/12/2020")</f>
        <v>26/12/2020</v>
      </c>
      <c r="F521" s="26">
        <f t="shared" si="1"/>
        <v>44191</v>
      </c>
    </row>
    <row r="522">
      <c r="A522" s="10" t="s">
        <v>3618</v>
      </c>
      <c r="B522" s="25" t="s">
        <v>3619</v>
      </c>
      <c r="C522" s="10" t="s">
        <v>1039</v>
      </c>
      <c r="D522" s="10" t="s">
        <v>1040</v>
      </c>
      <c r="E522" s="23" t="str">
        <f>IFERROR(__xludf.DUMMYFUNCTION("REGEXEXTRACT(TO_TEXT(A522), ""(\d{2}/\d{2}/\d{4})"")"),"29/12/2020")</f>
        <v>29/12/2020</v>
      </c>
      <c r="F522" s="26">
        <f t="shared" si="1"/>
        <v>44194</v>
      </c>
    </row>
    <row r="523">
      <c r="A523" s="11" t="s">
        <v>3620</v>
      </c>
      <c r="B523" s="25" t="s">
        <v>3621</v>
      </c>
      <c r="C523" s="13" t="s">
        <v>1041</v>
      </c>
      <c r="D523" s="11" t="s">
        <v>1042</v>
      </c>
      <c r="E523" s="23" t="str">
        <f>IFERROR(__xludf.DUMMYFUNCTION("REGEXEXTRACT(TO_TEXT(A523), ""(\d{2}/\d{2}/\d{4})"")"),"31/12/2020")</f>
        <v>31/12/2020</v>
      </c>
      <c r="F523" s="26">
        <f t="shared" si="1"/>
        <v>44196</v>
      </c>
    </row>
    <row r="524">
      <c r="A524" s="10" t="s">
        <v>3622</v>
      </c>
      <c r="B524" s="25" t="s">
        <v>3623</v>
      </c>
      <c r="C524" s="10" t="s">
        <v>1043</v>
      </c>
      <c r="D524" s="10" t="s">
        <v>1044</v>
      </c>
      <c r="E524" s="23" t="str">
        <f>IFERROR(__xludf.DUMMYFUNCTION("REGEXEXTRACT(TO_TEXT(A524), ""(\d{2}/\d{2}/\d{4})"")"),"02/01/2021")</f>
        <v>02/01/2021</v>
      </c>
      <c r="F524" s="26">
        <f t="shared" si="1"/>
        <v>44198</v>
      </c>
    </row>
    <row r="525">
      <c r="A525" s="11" t="s">
        <v>3624</v>
      </c>
      <c r="B525" s="25" t="s">
        <v>3625</v>
      </c>
      <c r="C525" s="11" t="s">
        <v>1045</v>
      </c>
      <c r="D525" s="13" t="s">
        <v>1046</v>
      </c>
      <c r="E525" s="23" t="str">
        <f>IFERROR(__xludf.DUMMYFUNCTION("REGEXEXTRACT(TO_TEXT(A525), ""(\d{2}/\d{2}/\d{4})"")"),"05/01/2021")</f>
        <v>05/01/2021</v>
      </c>
      <c r="F525" s="26">
        <f t="shared" si="1"/>
        <v>44201</v>
      </c>
    </row>
    <row r="526">
      <c r="A526" s="10" t="s">
        <v>3626</v>
      </c>
      <c r="B526" s="25" t="s">
        <v>3627</v>
      </c>
      <c r="C526" s="12" t="s">
        <v>1047</v>
      </c>
      <c r="D526" s="10" t="s">
        <v>1048</v>
      </c>
      <c r="E526" s="23" t="str">
        <f>IFERROR(__xludf.DUMMYFUNCTION("REGEXEXTRACT(TO_TEXT(A526), ""(\d{2}/\d{2}/\d{4})"")"),"07/01/2021")</f>
        <v>07/01/2021</v>
      </c>
      <c r="F526" s="26">
        <f t="shared" si="1"/>
        <v>44203</v>
      </c>
    </row>
    <row r="527">
      <c r="A527" s="11" t="s">
        <v>3628</v>
      </c>
      <c r="B527" s="25" t="s">
        <v>3629</v>
      </c>
      <c r="C527" s="11" t="s">
        <v>1049</v>
      </c>
      <c r="D527" s="11" t="s">
        <v>1050</v>
      </c>
      <c r="E527" s="23" t="str">
        <f>IFERROR(__xludf.DUMMYFUNCTION("REGEXEXTRACT(TO_TEXT(A527), ""(\d{2}/\d{2}/\d{4})"")"),"09/01/2021")</f>
        <v>09/01/2021</v>
      </c>
      <c r="F527" s="26">
        <f t="shared" si="1"/>
        <v>44205</v>
      </c>
    </row>
    <row r="528">
      <c r="A528" s="10" t="s">
        <v>3630</v>
      </c>
      <c r="B528" s="25" t="s">
        <v>3631</v>
      </c>
      <c r="C528" s="10" t="s">
        <v>1051</v>
      </c>
      <c r="D528" s="10" t="s">
        <v>1052</v>
      </c>
      <c r="E528" s="23" t="str">
        <f>IFERROR(__xludf.DUMMYFUNCTION("REGEXEXTRACT(TO_TEXT(A528), ""(\d{2}/\d{2}/\d{4})"")"),"12/01/2021")</f>
        <v>12/01/2021</v>
      </c>
      <c r="F528" s="26">
        <f t="shared" si="1"/>
        <v>44208</v>
      </c>
    </row>
    <row r="529">
      <c r="A529" s="11" t="s">
        <v>3632</v>
      </c>
      <c r="B529" s="25" t="s">
        <v>3633</v>
      </c>
      <c r="C529" s="11" t="s">
        <v>1053</v>
      </c>
      <c r="D529" s="11" t="s">
        <v>1054</v>
      </c>
      <c r="E529" s="23" t="str">
        <f>IFERROR(__xludf.DUMMYFUNCTION("REGEXEXTRACT(TO_TEXT(A529), ""(\d{2}/\d{2}/\d{4})"")"),"14/01/2021")</f>
        <v>14/01/2021</v>
      </c>
      <c r="F529" s="26">
        <f t="shared" si="1"/>
        <v>44210</v>
      </c>
    </row>
    <row r="530">
      <c r="A530" s="10" t="s">
        <v>3634</v>
      </c>
      <c r="B530" s="25" t="s">
        <v>3635</v>
      </c>
      <c r="C530" s="10" t="s">
        <v>1055</v>
      </c>
      <c r="D530" s="10" t="s">
        <v>1056</v>
      </c>
      <c r="E530" s="23" t="str">
        <f>IFERROR(__xludf.DUMMYFUNCTION("REGEXEXTRACT(TO_TEXT(A530), ""(\d{2}/\d{2}/\d{4})"")"),"16/01/2021")</f>
        <v>16/01/2021</v>
      </c>
      <c r="F530" s="26">
        <f t="shared" si="1"/>
        <v>44212</v>
      </c>
    </row>
    <row r="531">
      <c r="A531" s="11" t="s">
        <v>3636</v>
      </c>
      <c r="B531" s="25" t="s">
        <v>3637</v>
      </c>
      <c r="C531" s="11" t="s">
        <v>1057</v>
      </c>
      <c r="D531" s="11" t="s">
        <v>1058</v>
      </c>
      <c r="E531" s="23" t="str">
        <f>IFERROR(__xludf.DUMMYFUNCTION("REGEXEXTRACT(TO_TEXT(A531), ""(\d{2}/\d{2}/\d{4})"")"),"19/01/2021")</f>
        <v>19/01/2021</v>
      </c>
      <c r="F531" s="26">
        <f t="shared" si="1"/>
        <v>44215</v>
      </c>
    </row>
    <row r="532">
      <c r="A532" s="10" t="s">
        <v>3638</v>
      </c>
      <c r="B532" s="25" t="s">
        <v>3639</v>
      </c>
      <c r="C532" s="10" t="s">
        <v>1059</v>
      </c>
      <c r="D532" s="10" t="s">
        <v>1060</v>
      </c>
      <c r="E532" s="23" t="str">
        <f>IFERROR(__xludf.DUMMYFUNCTION("REGEXEXTRACT(TO_TEXT(A532), ""(\d{2}/\d{2}/\d{4})"")"),"21/01/2021")</f>
        <v>21/01/2021</v>
      </c>
      <c r="F532" s="26">
        <f t="shared" si="1"/>
        <v>44217</v>
      </c>
    </row>
    <row r="533">
      <c r="A533" s="11" t="s">
        <v>3640</v>
      </c>
      <c r="B533" s="25" t="s">
        <v>3641</v>
      </c>
      <c r="C533" s="11" t="s">
        <v>1061</v>
      </c>
      <c r="D533" s="11" t="s">
        <v>1062</v>
      </c>
      <c r="E533" s="23" t="str">
        <f>IFERROR(__xludf.DUMMYFUNCTION("REGEXEXTRACT(TO_TEXT(A533), ""(\d{2}/\d{2}/\d{4})"")"),"23/01/2021")</f>
        <v>23/01/2021</v>
      </c>
      <c r="F533" s="26">
        <f t="shared" si="1"/>
        <v>44219</v>
      </c>
    </row>
    <row r="534">
      <c r="A534" s="10" t="s">
        <v>3642</v>
      </c>
      <c r="B534" s="25" t="s">
        <v>3643</v>
      </c>
      <c r="C534" s="10" t="s">
        <v>1063</v>
      </c>
      <c r="D534" s="10" t="s">
        <v>1064</v>
      </c>
      <c r="E534" s="23" t="str">
        <f>IFERROR(__xludf.DUMMYFUNCTION("REGEXEXTRACT(TO_TEXT(A534), ""(\d{2}/\d{2}/\d{4})"")"),"26/01/2021")</f>
        <v>26/01/2021</v>
      </c>
      <c r="F534" s="26">
        <f t="shared" si="1"/>
        <v>44222</v>
      </c>
    </row>
    <row r="535">
      <c r="A535" s="11" t="s">
        <v>3644</v>
      </c>
      <c r="B535" s="25" t="s">
        <v>3645</v>
      </c>
      <c r="C535" s="11" t="s">
        <v>1065</v>
      </c>
      <c r="D535" s="11" t="s">
        <v>1066</v>
      </c>
      <c r="E535" s="23" t="str">
        <f>IFERROR(__xludf.DUMMYFUNCTION("REGEXEXTRACT(TO_TEXT(A535), ""(\d{2}/\d{2}/\d{4})"")"),"28/01/2021")</f>
        <v>28/01/2021</v>
      </c>
      <c r="F535" s="26">
        <f t="shared" si="1"/>
        <v>44224</v>
      </c>
    </row>
    <row r="536">
      <c r="A536" s="10" t="s">
        <v>3646</v>
      </c>
      <c r="B536" s="25" t="s">
        <v>3647</v>
      </c>
      <c r="C536" s="10" t="s">
        <v>1067</v>
      </c>
      <c r="D536" s="10" t="s">
        <v>1068</v>
      </c>
      <c r="E536" s="23" t="str">
        <f>IFERROR(__xludf.DUMMYFUNCTION("REGEXEXTRACT(TO_TEXT(A536), ""(\d{2}/\d{2}/\d{4})"")"),"30/01/2021")</f>
        <v>30/01/2021</v>
      </c>
      <c r="F536" s="26">
        <f t="shared" si="1"/>
        <v>44226</v>
      </c>
    </row>
    <row r="537">
      <c r="A537" s="11" t="s">
        <v>3648</v>
      </c>
      <c r="B537" s="25" t="s">
        <v>3649</v>
      </c>
      <c r="C537" s="11" t="s">
        <v>1069</v>
      </c>
      <c r="D537" s="11" t="s">
        <v>1070</v>
      </c>
      <c r="E537" s="23" t="str">
        <f>IFERROR(__xludf.DUMMYFUNCTION("REGEXEXTRACT(TO_TEXT(A537), ""(\d{2}/\d{2}/\d{4})"")"),"02/02/2021")</f>
        <v>02/02/2021</v>
      </c>
      <c r="F537" s="26">
        <f t="shared" si="1"/>
        <v>44229</v>
      </c>
    </row>
    <row r="538">
      <c r="A538" s="10" t="s">
        <v>3650</v>
      </c>
      <c r="B538" s="25" t="s">
        <v>3651</v>
      </c>
      <c r="C538" s="10" t="s">
        <v>1071</v>
      </c>
      <c r="D538" s="10" t="s">
        <v>1072</v>
      </c>
      <c r="E538" s="23" t="str">
        <f>IFERROR(__xludf.DUMMYFUNCTION("REGEXEXTRACT(TO_TEXT(A538), ""(\d{2}/\d{2}/\d{4})"")"),"04/02/2021")</f>
        <v>04/02/2021</v>
      </c>
      <c r="F538" s="26">
        <f t="shared" si="1"/>
        <v>44231</v>
      </c>
    </row>
    <row r="539">
      <c r="A539" s="11" t="s">
        <v>3652</v>
      </c>
      <c r="B539" s="25" t="s">
        <v>3653</v>
      </c>
      <c r="C539" s="11" t="s">
        <v>1073</v>
      </c>
      <c r="D539" s="13" t="s">
        <v>1074</v>
      </c>
      <c r="E539" s="23" t="str">
        <f>IFERROR(__xludf.DUMMYFUNCTION("REGEXEXTRACT(TO_TEXT(A539), ""(\d{2}/\d{2}/\d{4})"")"),"06/02/2021")</f>
        <v>06/02/2021</v>
      </c>
      <c r="F539" s="26">
        <f t="shared" si="1"/>
        <v>44233</v>
      </c>
    </row>
    <row r="540">
      <c r="A540" s="10" t="s">
        <v>3654</v>
      </c>
      <c r="B540" s="25" t="s">
        <v>3655</v>
      </c>
      <c r="C540" s="10" t="s">
        <v>1075</v>
      </c>
      <c r="D540" s="10" t="s">
        <v>1076</v>
      </c>
      <c r="E540" s="23" t="str">
        <f>IFERROR(__xludf.DUMMYFUNCTION("REGEXEXTRACT(TO_TEXT(A540), ""(\d{2}/\d{2}/\d{4})"")"),"09/02/2021")</f>
        <v>09/02/2021</v>
      </c>
      <c r="F540" s="26">
        <f t="shared" si="1"/>
        <v>44236</v>
      </c>
    </row>
    <row r="541">
      <c r="A541" s="11" t="s">
        <v>3656</v>
      </c>
      <c r="B541" s="25" t="s">
        <v>3657</v>
      </c>
      <c r="C541" s="11" t="s">
        <v>1077</v>
      </c>
      <c r="D541" s="11" t="s">
        <v>1078</v>
      </c>
      <c r="E541" s="23" t="str">
        <f>IFERROR(__xludf.DUMMYFUNCTION("REGEXEXTRACT(TO_TEXT(A541), ""(\d{2}/\d{2}/\d{4})"")"),"13/02/2021")</f>
        <v>13/02/2021</v>
      </c>
      <c r="F541" s="26">
        <f t="shared" si="1"/>
        <v>44240</v>
      </c>
    </row>
    <row r="542">
      <c r="A542" s="10" t="s">
        <v>3658</v>
      </c>
      <c r="B542" s="25" t="s">
        <v>3659</v>
      </c>
      <c r="C542" s="10" t="s">
        <v>1079</v>
      </c>
      <c r="D542" s="10" t="s">
        <v>1080</v>
      </c>
      <c r="E542" s="23" t="str">
        <f>IFERROR(__xludf.DUMMYFUNCTION("REGEXEXTRACT(TO_TEXT(A542), ""(\d{2}/\d{2}/\d{4})"")"),"16/02/2021")</f>
        <v>16/02/2021</v>
      </c>
      <c r="F542" s="26">
        <f t="shared" si="1"/>
        <v>44243</v>
      </c>
    </row>
    <row r="543">
      <c r="A543" s="11" t="s">
        <v>3660</v>
      </c>
      <c r="B543" s="25" t="s">
        <v>3661</v>
      </c>
      <c r="C543" s="11" t="s">
        <v>1081</v>
      </c>
      <c r="D543" s="13" t="s">
        <v>1082</v>
      </c>
      <c r="E543" s="23" t="str">
        <f>IFERROR(__xludf.DUMMYFUNCTION("REGEXEXTRACT(TO_TEXT(A543), ""(\d{2}/\d{2}/\d{4})"")"),"18/02/2021")</f>
        <v>18/02/2021</v>
      </c>
      <c r="F543" s="26">
        <f t="shared" si="1"/>
        <v>44245</v>
      </c>
    </row>
    <row r="544">
      <c r="A544" s="10" t="s">
        <v>3662</v>
      </c>
      <c r="B544" s="25" t="s">
        <v>3663</v>
      </c>
      <c r="C544" s="10" t="s">
        <v>1083</v>
      </c>
      <c r="D544" s="10" t="s">
        <v>1084</v>
      </c>
      <c r="E544" s="23" t="str">
        <f>IFERROR(__xludf.DUMMYFUNCTION("REGEXEXTRACT(TO_TEXT(A544), ""(\d{2}/\d{2}/\d{4})"")"),"20/02/2021")</f>
        <v>20/02/2021</v>
      </c>
      <c r="F544" s="26">
        <f t="shared" si="1"/>
        <v>44247</v>
      </c>
    </row>
    <row r="545">
      <c r="A545" s="11" t="s">
        <v>3664</v>
      </c>
      <c r="B545" s="25" t="s">
        <v>3665</v>
      </c>
      <c r="C545" s="11" t="s">
        <v>1085</v>
      </c>
      <c r="D545" s="11" t="s">
        <v>1086</v>
      </c>
      <c r="E545" s="23" t="str">
        <f>IFERROR(__xludf.DUMMYFUNCTION("REGEXEXTRACT(TO_TEXT(A545), ""(\d{2}/\d{2}/\d{4})"")"),"23/02/2021")</f>
        <v>23/02/2021</v>
      </c>
      <c r="F545" s="26">
        <f t="shared" si="1"/>
        <v>44250</v>
      </c>
    </row>
    <row r="546">
      <c r="A546" s="10" t="s">
        <v>3666</v>
      </c>
      <c r="B546" s="25" t="s">
        <v>3667</v>
      </c>
      <c r="C546" s="10" t="s">
        <v>1087</v>
      </c>
      <c r="D546" s="10" t="s">
        <v>1088</v>
      </c>
      <c r="E546" s="23" t="str">
        <f>IFERROR(__xludf.DUMMYFUNCTION("REGEXEXTRACT(TO_TEXT(A546), ""(\d{2}/\d{2}/\d{4})"")"),"25/02/2021")</f>
        <v>25/02/2021</v>
      </c>
      <c r="F546" s="26">
        <f t="shared" si="1"/>
        <v>44252</v>
      </c>
    </row>
    <row r="547">
      <c r="A547" s="11" t="s">
        <v>3668</v>
      </c>
      <c r="B547" s="25" t="s">
        <v>3669</v>
      </c>
      <c r="C547" s="11" t="s">
        <v>1089</v>
      </c>
      <c r="D547" s="11" t="s">
        <v>1090</v>
      </c>
      <c r="E547" s="23" t="str">
        <f>IFERROR(__xludf.DUMMYFUNCTION("REGEXEXTRACT(TO_TEXT(A547), ""(\d{2}/\d{2}/\d{4})"")"),"27/02/2021")</f>
        <v>27/02/2021</v>
      </c>
      <c r="F547" s="26">
        <f t="shared" si="1"/>
        <v>44254</v>
      </c>
    </row>
    <row r="548">
      <c r="A548" s="10" t="s">
        <v>3670</v>
      </c>
      <c r="B548" s="25" t="s">
        <v>3671</v>
      </c>
      <c r="C548" s="10" t="s">
        <v>1091</v>
      </c>
      <c r="D548" s="10" t="s">
        <v>1092</v>
      </c>
      <c r="E548" s="23" t="str">
        <f>IFERROR(__xludf.DUMMYFUNCTION("REGEXEXTRACT(TO_TEXT(A548), ""(\d{2}/\d{2}/\d{4})"")"),"02/03/2021")</f>
        <v>02/03/2021</v>
      </c>
      <c r="F548" s="26">
        <f t="shared" si="1"/>
        <v>44257</v>
      </c>
    </row>
    <row r="549">
      <c r="A549" s="11" t="s">
        <v>3672</v>
      </c>
      <c r="B549" s="25" t="s">
        <v>3673</v>
      </c>
      <c r="C549" s="11" t="s">
        <v>1093</v>
      </c>
      <c r="D549" s="11" t="s">
        <v>1094</v>
      </c>
      <c r="E549" s="23" t="str">
        <f>IFERROR(__xludf.DUMMYFUNCTION("REGEXEXTRACT(TO_TEXT(A549), ""(\d{2}/\d{2}/\d{4})"")"),"04/03/2021")</f>
        <v>04/03/2021</v>
      </c>
      <c r="F549" s="26">
        <f t="shared" si="1"/>
        <v>44259</v>
      </c>
    </row>
    <row r="550">
      <c r="A550" s="10" t="s">
        <v>3674</v>
      </c>
      <c r="B550" s="25" t="s">
        <v>3675</v>
      </c>
      <c r="C550" s="10" t="s">
        <v>1095</v>
      </c>
      <c r="D550" s="10" t="s">
        <v>1096</v>
      </c>
      <c r="E550" s="23" t="str">
        <f>IFERROR(__xludf.DUMMYFUNCTION("REGEXEXTRACT(TO_TEXT(A550), ""(\d{2}/\d{2}/\d{4})"")"),"06/03/2021")</f>
        <v>06/03/2021</v>
      </c>
      <c r="F550" s="26">
        <f t="shared" si="1"/>
        <v>44261</v>
      </c>
    </row>
    <row r="551">
      <c r="A551" s="11" t="s">
        <v>3676</v>
      </c>
      <c r="B551" s="25" t="s">
        <v>3677</v>
      </c>
      <c r="C551" s="11" t="s">
        <v>1097</v>
      </c>
      <c r="D551" s="11" t="s">
        <v>1098</v>
      </c>
      <c r="E551" s="23" t="str">
        <f>IFERROR(__xludf.DUMMYFUNCTION("REGEXEXTRACT(TO_TEXT(A551), ""(\d{2}/\d{2}/\d{4})"")"),"09/03/2021")</f>
        <v>09/03/2021</v>
      </c>
      <c r="F551" s="26">
        <f t="shared" si="1"/>
        <v>44264</v>
      </c>
    </row>
    <row r="552">
      <c r="A552" s="10" t="s">
        <v>3678</v>
      </c>
      <c r="B552" s="25" t="s">
        <v>3679</v>
      </c>
      <c r="C552" s="10" t="s">
        <v>1099</v>
      </c>
      <c r="D552" s="10" t="s">
        <v>1100</v>
      </c>
      <c r="E552" s="23" t="str">
        <f>IFERROR(__xludf.DUMMYFUNCTION("REGEXEXTRACT(TO_TEXT(A552), ""(\d{2}/\d{2}/\d{4})"")"),"11/03/2021")</f>
        <v>11/03/2021</v>
      </c>
      <c r="F552" s="26">
        <f t="shared" si="1"/>
        <v>44266</v>
      </c>
    </row>
    <row r="553">
      <c r="A553" s="11" t="s">
        <v>3680</v>
      </c>
      <c r="B553" s="25" t="s">
        <v>3681</v>
      </c>
      <c r="C553" s="11" t="s">
        <v>1101</v>
      </c>
      <c r="D553" s="11" t="s">
        <v>1102</v>
      </c>
      <c r="E553" s="23" t="str">
        <f>IFERROR(__xludf.DUMMYFUNCTION("REGEXEXTRACT(TO_TEXT(A553), ""(\d{2}/\d{2}/\d{4})"")"),"13/03/2021")</f>
        <v>13/03/2021</v>
      </c>
      <c r="F553" s="26">
        <f t="shared" si="1"/>
        <v>44268</v>
      </c>
    </row>
    <row r="554">
      <c r="A554" s="10" t="s">
        <v>3682</v>
      </c>
      <c r="B554" s="25" t="s">
        <v>3683</v>
      </c>
      <c r="C554" s="10" t="s">
        <v>1103</v>
      </c>
      <c r="D554" s="10" t="s">
        <v>1104</v>
      </c>
      <c r="E554" s="23" t="str">
        <f>IFERROR(__xludf.DUMMYFUNCTION("REGEXEXTRACT(TO_TEXT(A554), ""(\d{2}/\d{2}/\d{4})"")"),"16/03/2021")</f>
        <v>16/03/2021</v>
      </c>
      <c r="F554" s="26">
        <f t="shared" si="1"/>
        <v>44271</v>
      </c>
    </row>
    <row r="555">
      <c r="A555" s="11" t="s">
        <v>3684</v>
      </c>
      <c r="B555" s="25" t="s">
        <v>3685</v>
      </c>
      <c r="C555" s="11" t="s">
        <v>1105</v>
      </c>
      <c r="D555" s="11" t="s">
        <v>1106</v>
      </c>
      <c r="E555" s="23" t="str">
        <f>IFERROR(__xludf.DUMMYFUNCTION("REGEXEXTRACT(TO_TEXT(A555), ""(\d{2}/\d{2}/\d{4})"")"),"18/03/2021")</f>
        <v>18/03/2021</v>
      </c>
      <c r="F555" s="26">
        <f t="shared" si="1"/>
        <v>44273</v>
      </c>
    </row>
    <row r="556">
      <c r="A556" s="10" t="s">
        <v>3686</v>
      </c>
      <c r="B556" s="25" t="s">
        <v>3687</v>
      </c>
      <c r="C556" s="10" t="s">
        <v>1107</v>
      </c>
      <c r="D556" s="10" t="s">
        <v>1108</v>
      </c>
      <c r="E556" s="23" t="str">
        <f>IFERROR(__xludf.DUMMYFUNCTION("REGEXEXTRACT(TO_TEXT(A556), ""(\d{2}/\d{2}/\d{4})"")"),"20/03/2021")</f>
        <v>20/03/2021</v>
      </c>
      <c r="F556" s="26">
        <f t="shared" si="1"/>
        <v>44275</v>
      </c>
    </row>
    <row r="557">
      <c r="A557" s="11" t="s">
        <v>3688</v>
      </c>
      <c r="B557" s="25" t="s">
        <v>3689</v>
      </c>
      <c r="C557" s="11" t="s">
        <v>1109</v>
      </c>
      <c r="D557" s="11" t="s">
        <v>1110</v>
      </c>
      <c r="E557" s="23" t="str">
        <f>IFERROR(__xludf.DUMMYFUNCTION("REGEXEXTRACT(TO_TEXT(A557), ""(\d{2}/\d{2}/\d{4})"")"),"23/03/2021")</f>
        <v>23/03/2021</v>
      </c>
      <c r="F557" s="26">
        <f t="shared" si="1"/>
        <v>44278</v>
      </c>
    </row>
    <row r="558">
      <c r="A558" s="10" t="s">
        <v>3690</v>
      </c>
      <c r="B558" s="25" t="s">
        <v>3691</v>
      </c>
      <c r="C558" s="10" t="s">
        <v>1111</v>
      </c>
      <c r="D558" s="10" t="s">
        <v>1112</v>
      </c>
      <c r="E558" s="23" t="str">
        <f>IFERROR(__xludf.DUMMYFUNCTION("REGEXEXTRACT(TO_TEXT(A558), ""(\d{2}/\d{2}/\d{4})"")"),"25/03/2021")</f>
        <v>25/03/2021</v>
      </c>
      <c r="F558" s="26">
        <f t="shared" si="1"/>
        <v>44280</v>
      </c>
    </row>
    <row r="559">
      <c r="A559" s="11" t="s">
        <v>3692</v>
      </c>
      <c r="B559" s="25" t="s">
        <v>3693</v>
      </c>
      <c r="C559" s="11" t="s">
        <v>1113</v>
      </c>
      <c r="D559" s="13" t="s">
        <v>1114</v>
      </c>
      <c r="E559" s="23" t="str">
        <f>IFERROR(__xludf.DUMMYFUNCTION("REGEXEXTRACT(TO_TEXT(A559), ""(\d{2}/\d{2}/\d{4})"")"),"27/03/2021")</f>
        <v>27/03/2021</v>
      </c>
      <c r="F559" s="26">
        <f t="shared" si="1"/>
        <v>44282</v>
      </c>
    </row>
    <row r="560">
      <c r="A560" s="10" t="s">
        <v>3694</v>
      </c>
      <c r="B560" s="25" t="s">
        <v>3695</v>
      </c>
      <c r="C560" s="10" t="s">
        <v>1115</v>
      </c>
      <c r="D560" s="12" t="s">
        <v>1116</v>
      </c>
      <c r="E560" s="23" t="str">
        <f>IFERROR(__xludf.DUMMYFUNCTION("REGEXEXTRACT(TO_TEXT(A560), ""(\d{2}/\d{2}/\d{4})"")"),"30/03/2021")</f>
        <v>30/03/2021</v>
      </c>
      <c r="F560" s="26">
        <f t="shared" si="1"/>
        <v>44285</v>
      </c>
    </row>
    <row r="561">
      <c r="A561" s="11" t="s">
        <v>3696</v>
      </c>
      <c r="B561" s="25" t="s">
        <v>3697</v>
      </c>
      <c r="C561" s="11" t="s">
        <v>1117</v>
      </c>
      <c r="D561" s="13" t="s">
        <v>1118</v>
      </c>
      <c r="E561" s="23" t="str">
        <f>IFERROR(__xludf.DUMMYFUNCTION("REGEXEXTRACT(TO_TEXT(A561), ""(\d{2}/\d{2}/\d{4})"")"),"01/04/2021")</f>
        <v>01/04/2021</v>
      </c>
      <c r="F561" s="26">
        <f t="shared" si="1"/>
        <v>44287</v>
      </c>
    </row>
    <row r="562">
      <c r="A562" s="10" t="s">
        <v>3698</v>
      </c>
      <c r="B562" s="25" t="s">
        <v>3699</v>
      </c>
      <c r="C562" s="12" t="s">
        <v>1119</v>
      </c>
      <c r="D562" s="10" t="s">
        <v>1120</v>
      </c>
      <c r="E562" s="23" t="str">
        <f>IFERROR(__xludf.DUMMYFUNCTION("REGEXEXTRACT(TO_TEXT(A562), ""(\d{2}/\d{2}/\d{4})"")"),"03/04/2021")</f>
        <v>03/04/2021</v>
      </c>
      <c r="F562" s="26">
        <f t="shared" si="1"/>
        <v>44289</v>
      </c>
    </row>
    <row r="563">
      <c r="A563" s="11" t="s">
        <v>3700</v>
      </c>
      <c r="B563" s="25" t="s">
        <v>3701</v>
      </c>
      <c r="C563" s="11" t="s">
        <v>1121</v>
      </c>
      <c r="D563" s="11" t="s">
        <v>1122</v>
      </c>
      <c r="E563" s="23" t="str">
        <f>IFERROR(__xludf.DUMMYFUNCTION("REGEXEXTRACT(TO_TEXT(A563), ""(\d{2}/\d{2}/\d{4})"")"),"06/04/2021")</f>
        <v>06/04/2021</v>
      </c>
      <c r="F563" s="26">
        <f t="shared" si="1"/>
        <v>44292</v>
      </c>
    </row>
    <row r="564">
      <c r="A564" s="10" t="s">
        <v>3702</v>
      </c>
      <c r="B564" s="25" t="s">
        <v>3703</v>
      </c>
      <c r="C564" s="10" t="s">
        <v>1123</v>
      </c>
      <c r="D564" s="10" t="s">
        <v>1124</v>
      </c>
      <c r="E564" s="23" t="str">
        <f>IFERROR(__xludf.DUMMYFUNCTION("REGEXEXTRACT(TO_TEXT(A564), ""(\d{2}/\d{2}/\d{4})"")"),"08/04/2021")</f>
        <v>08/04/2021</v>
      </c>
      <c r="F564" s="26">
        <f t="shared" si="1"/>
        <v>44294</v>
      </c>
    </row>
    <row r="565">
      <c r="A565" s="11" t="s">
        <v>3704</v>
      </c>
      <c r="B565" s="25" t="s">
        <v>3705</v>
      </c>
      <c r="C565" s="11" t="s">
        <v>1125</v>
      </c>
      <c r="D565" s="13" t="s">
        <v>1126</v>
      </c>
      <c r="E565" s="23" t="str">
        <f>IFERROR(__xludf.DUMMYFUNCTION("REGEXEXTRACT(TO_TEXT(A565), ""(\d{2}/\d{2}/\d{4})"")"),"10/04/2021")</f>
        <v>10/04/2021</v>
      </c>
      <c r="F565" s="26">
        <f t="shared" si="1"/>
        <v>44296</v>
      </c>
    </row>
    <row r="566">
      <c r="A566" s="10" t="s">
        <v>3706</v>
      </c>
      <c r="B566" s="25" t="s">
        <v>3707</v>
      </c>
      <c r="C566" s="10" t="s">
        <v>1127</v>
      </c>
      <c r="D566" s="10" t="s">
        <v>1128</v>
      </c>
      <c r="E566" s="23" t="str">
        <f>IFERROR(__xludf.DUMMYFUNCTION("REGEXEXTRACT(TO_TEXT(A566), ""(\d{2}/\d{2}/\d{4})"")"),"13/04/2021")</f>
        <v>13/04/2021</v>
      </c>
      <c r="F566" s="26">
        <f t="shared" si="1"/>
        <v>44299</v>
      </c>
    </row>
    <row r="567">
      <c r="A567" s="11" t="s">
        <v>3708</v>
      </c>
      <c r="B567" s="25" t="s">
        <v>3709</v>
      </c>
      <c r="C567" s="11" t="s">
        <v>1129</v>
      </c>
      <c r="D567" s="11" t="s">
        <v>1130</v>
      </c>
      <c r="E567" s="23" t="str">
        <f>IFERROR(__xludf.DUMMYFUNCTION("REGEXEXTRACT(TO_TEXT(A567), ""(\d{2}/\d{2}/\d{4})"")"),"15/04/2021")</f>
        <v>15/04/2021</v>
      </c>
      <c r="F567" s="26">
        <f t="shared" si="1"/>
        <v>44301</v>
      </c>
    </row>
    <row r="568">
      <c r="A568" s="10" t="s">
        <v>3710</v>
      </c>
      <c r="B568" s="25" t="s">
        <v>3711</v>
      </c>
      <c r="C568" s="10" t="s">
        <v>1131</v>
      </c>
      <c r="D568" s="12" t="s">
        <v>1132</v>
      </c>
      <c r="E568" s="23" t="str">
        <f>IFERROR(__xludf.DUMMYFUNCTION("REGEXEXTRACT(TO_TEXT(A568), ""(\d{2}/\d{2}/\d{4})"")"),"17/04/2021")</f>
        <v>17/04/2021</v>
      </c>
      <c r="F568" s="26">
        <f t="shared" si="1"/>
        <v>44303</v>
      </c>
    </row>
    <row r="569">
      <c r="A569" s="11" t="s">
        <v>3712</v>
      </c>
      <c r="B569" s="25" t="s">
        <v>3713</v>
      </c>
      <c r="C569" s="11" t="s">
        <v>1133</v>
      </c>
      <c r="D569" s="11" t="s">
        <v>1134</v>
      </c>
      <c r="E569" s="23" t="str">
        <f>IFERROR(__xludf.DUMMYFUNCTION("REGEXEXTRACT(TO_TEXT(A569), ""(\d{2}/\d{2}/\d{4})"")"),"20/04/2021")</f>
        <v>20/04/2021</v>
      </c>
      <c r="F569" s="26">
        <f t="shared" si="1"/>
        <v>44306</v>
      </c>
    </row>
    <row r="570">
      <c r="A570" s="10" t="s">
        <v>3714</v>
      </c>
      <c r="B570" s="25" t="s">
        <v>3715</v>
      </c>
      <c r="C570" s="10" t="s">
        <v>1135</v>
      </c>
      <c r="D570" s="12" t="s">
        <v>1136</v>
      </c>
      <c r="E570" s="23" t="str">
        <f>IFERROR(__xludf.DUMMYFUNCTION("REGEXEXTRACT(TO_TEXT(A570), ""(\d{2}/\d{2}/\d{4})"")"),"22/04/2021")</f>
        <v>22/04/2021</v>
      </c>
      <c r="F570" s="26">
        <f t="shared" si="1"/>
        <v>44308</v>
      </c>
    </row>
    <row r="571">
      <c r="A571" s="11" t="s">
        <v>3716</v>
      </c>
      <c r="B571" s="25" t="s">
        <v>3717</v>
      </c>
      <c r="C571" s="11" t="s">
        <v>1137</v>
      </c>
      <c r="D571" s="11" t="s">
        <v>1138</v>
      </c>
      <c r="E571" s="23" t="str">
        <f>IFERROR(__xludf.DUMMYFUNCTION("REGEXEXTRACT(TO_TEXT(A571), ""(\d{2}/\d{2}/\d{4})"")"),"24/04/2021")</f>
        <v>24/04/2021</v>
      </c>
      <c r="F571" s="26">
        <f t="shared" si="1"/>
        <v>44310</v>
      </c>
    </row>
    <row r="572">
      <c r="A572" s="10" t="s">
        <v>3718</v>
      </c>
      <c r="B572" s="25" t="s">
        <v>3719</v>
      </c>
      <c r="C572" s="10" t="s">
        <v>1139</v>
      </c>
      <c r="D572" s="10" t="s">
        <v>1140</v>
      </c>
      <c r="E572" s="23" t="str">
        <f>IFERROR(__xludf.DUMMYFUNCTION("REGEXEXTRACT(TO_TEXT(A572), ""(\d{2}/\d{2}/\d{4})"")"),"27/04/2021")</f>
        <v>27/04/2021</v>
      </c>
      <c r="F572" s="26">
        <f t="shared" si="1"/>
        <v>44313</v>
      </c>
    </row>
    <row r="573">
      <c r="A573" s="11" t="s">
        <v>3720</v>
      </c>
      <c r="B573" s="25" t="s">
        <v>3721</v>
      </c>
      <c r="C573" s="13" t="s">
        <v>1141</v>
      </c>
      <c r="D573" s="11" t="s">
        <v>1142</v>
      </c>
      <c r="E573" s="23" t="str">
        <f>IFERROR(__xludf.DUMMYFUNCTION("REGEXEXTRACT(TO_TEXT(A573), ""(\d{2}/\d{2}/\d{4})"")"),"29/04/2021")</f>
        <v>29/04/2021</v>
      </c>
      <c r="F573" s="26">
        <f t="shared" si="1"/>
        <v>44315</v>
      </c>
    </row>
    <row r="574">
      <c r="A574" s="10" t="s">
        <v>3722</v>
      </c>
      <c r="B574" s="25" t="s">
        <v>3723</v>
      </c>
      <c r="C574" s="10" t="s">
        <v>1143</v>
      </c>
      <c r="D574" s="10" t="s">
        <v>1144</v>
      </c>
      <c r="E574" s="23" t="str">
        <f>IFERROR(__xludf.DUMMYFUNCTION("REGEXEXTRACT(TO_TEXT(A574), ""(\d{2}/\d{2}/\d{4})"")"),"01/05/2021")</f>
        <v>01/05/2021</v>
      </c>
      <c r="F574" s="26">
        <f t="shared" si="1"/>
        <v>44317</v>
      </c>
    </row>
    <row r="575">
      <c r="A575" s="11" t="s">
        <v>3724</v>
      </c>
      <c r="B575" s="25" t="s">
        <v>3725</v>
      </c>
      <c r="C575" s="11" t="s">
        <v>1145</v>
      </c>
      <c r="D575" s="11" t="s">
        <v>1146</v>
      </c>
      <c r="E575" s="23" t="str">
        <f>IFERROR(__xludf.DUMMYFUNCTION("REGEXEXTRACT(TO_TEXT(A575), ""(\d{2}/\d{2}/\d{4})"")"),"04/05/2021")</f>
        <v>04/05/2021</v>
      </c>
      <c r="F575" s="26">
        <f t="shared" si="1"/>
        <v>44320</v>
      </c>
    </row>
    <row r="576">
      <c r="A576" s="10" t="s">
        <v>3726</v>
      </c>
      <c r="B576" s="25" t="s">
        <v>3727</v>
      </c>
      <c r="C576" s="10" t="s">
        <v>1147</v>
      </c>
      <c r="D576" s="10" t="s">
        <v>1148</v>
      </c>
      <c r="E576" s="23" t="str">
        <f>IFERROR(__xludf.DUMMYFUNCTION("REGEXEXTRACT(TO_TEXT(A576), ""(\d{2}/\d{2}/\d{4})"")"),"06/05/2021")</f>
        <v>06/05/2021</v>
      </c>
      <c r="F576" s="26">
        <f t="shared" si="1"/>
        <v>44322</v>
      </c>
    </row>
    <row r="577">
      <c r="A577" s="11" t="s">
        <v>3728</v>
      </c>
      <c r="B577" s="25" t="s">
        <v>3729</v>
      </c>
      <c r="C577" s="11" t="s">
        <v>1149</v>
      </c>
      <c r="D577" s="11" t="s">
        <v>1150</v>
      </c>
      <c r="E577" s="23" t="str">
        <f>IFERROR(__xludf.DUMMYFUNCTION("REGEXEXTRACT(TO_TEXT(A577), ""(\d{2}/\d{2}/\d{4})"")"),"08/05/2021")</f>
        <v>08/05/2021</v>
      </c>
      <c r="F577" s="26">
        <f t="shared" si="1"/>
        <v>44324</v>
      </c>
    </row>
    <row r="578">
      <c r="A578" s="10" t="s">
        <v>3730</v>
      </c>
      <c r="B578" s="25" t="s">
        <v>3731</v>
      </c>
      <c r="C578" s="10" t="s">
        <v>1151</v>
      </c>
      <c r="D578" s="10" t="s">
        <v>1152</v>
      </c>
      <c r="E578" s="23" t="str">
        <f>IFERROR(__xludf.DUMMYFUNCTION("REGEXEXTRACT(TO_TEXT(A578), ""(\d{2}/\d{2}/\d{4})"")"),"11/05/2021")</f>
        <v>11/05/2021</v>
      </c>
      <c r="F578" s="26">
        <f t="shared" si="1"/>
        <v>44327</v>
      </c>
    </row>
    <row r="579">
      <c r="A579" s="11" t="s">
        <v>3732</v>
      </c>
      <c r="B579" s="25" t="s">
        <v>3733</v>
      </c>
      <c r="C579" s="11" t="s">
        <v>1153</v>
      </c>
      <c r="D579" s="13" t="s">
        <v>1154</v>
      </c>
      <c r="E579" s="23" t="str">
        <f>IFERROR(__xludf.DUMMYFUNCTION("REGEXEXTRACT(TO_TEXT(A579), ""(\d{2}/\d{2}/\d{4})"")"),"13/05/2021")</f>
        <v>13/05/2021</v>
      </c>
      <c r="F579" s="26">
        <f t="shared" si="1"/>
        <v>44329</v>
      </c>
    </row>
    <row r="580">
      <c r="A580" s="10" t="s">
        <v>3734</v>
      </c>
      <c r="B580" s="25" t="s">
        <v>3735</v>
      </c>
      <c r="C580" s="10" t="s">
        <v>1155</v>
      </c>
      <c r="D580" s="10" t="s">
        <v>1156</v>
      </c>
      <c r="E580" s="23" t="str">
        <f>IFERROR(__xludf.DUMMYFUNCTION("REGEXEXTRACT(TO_TEXT(A580), ""(\d{2}/\d{2}/\d{4})"")"),"15/05/2021")</f>
        <v>15/05/2021</v>
      </c>
      <c r="F580" s="26">
        <f t="shared" si="1"/>
        <v>44331</v>
      </c>
    </row>
    <row r="581">
      <c r="A581" s="11" t="s">
        <v>3736</v>
      </c>
      <c r="B581" s="25" t="s">
        <v>3737</v>
      </c>
      <c r="C581" s="11" t="s">
        <v>1157</v>
      </c>
      <c r="D581" s="13" t="s">
        <v>1158</v>
      </c>
      <c r="E581" s="23" t="str">
        <f>IFERROR(__xludf.DUMMYFUNCTION("REGEXEXTRACT(TO_TEXT(A581), ""(\d{2}/\d{2}/\d{4})"")"),"18/05/2021")</f>
        <v>18/05/2021</v>
      </c>
      <c r="F581" s="26">
        <f t="shared" si="1"/>
        <v>44334</v>
      </c>
    </row>
    <row r="582">
      <c r="A582" s="10" t="s">
        <v>3738</v>
      </c>
      <c r="B582" s="25" t="s">
        <v>3739</v>
      </c>
      <c r="C582" s="10" t="s">
        <v>1159</v>
      </c>
      <c r="D582" s="10" t="s">
        <v>1160</v>
      </c>
      <c r="E582" s="23" t="str">
        <f>IFERROR(__xludf.DUMMYFUNCTION("REGEXEXTRACT(TO_TEXT(A582), ""(\d{2}/\d{2}/\d{4})"")"),"20/05/2021")</f>
        <v>20/05/2021</v>
      </c>
      <c r="F582" s="26">
        <f t="shared" si="1"/>
        <v>44336</v>
      </c>
    </row>
    <row r="583">
      <c r="A583" s="11" t="s">
        <v>3740</v>
      </c>
      <c r="B583" s="25" t="s">
        <v>3741</v>
      </c>
      <c r="C583" s="11" t="s">
        <v>1161</v>
      </c>
      <c r="D583" s="11" t="s">
        <v>1162</v>
      </c>
      <c r="E583" s="23" t="str">
        <f>IFERROR(__xludf.DUMMYFUNCTION("REGEXEXTRACT(TO_TEXT(A583), ""(\d{2}/\d{2}/\d{4})"")"),"22/05/2021")</f>
        <v>22/05/2021</v>
      </c>
      <c r="F583" s="26">
        <f t="shared" si="1"/>
        <v>44338</v>
      </c>
    </row>
    <row r="584">
      <c r="A584" s="10" t="s">
        <v>3742</v>
      </c>
      <c r="B584" s="25" t="s">
        <v>3743</v>
      </c>
      <c r="C584" s="10" t="s">
        <v>1163</v>
      </c>
      <c r="D584" s="10" t="s">
        <v>1164</v>
      </c>
      <c r="E584" s="23" t="str">
        <f>IFERROR(__xludf.DUMMYFUNCTION("REGEXEXTRACT(TO_TEXT(A584), ""(\d{2}/\d{2}/\d{4})"")"),"25/05/2021")</f>
        <v>25/05/2021</v>
      </c>
      <c r="F584" s="26">
        <f t="shared" si="1"/>
        <v>44341</v>
      </c>
    </row>
    <row r="585">
      <c r="A585" s="11" t="s">
        <v>3744</v>
      </c>
      <c r="B585" s="25" t="s">
        <v>3745</v>
      </c>
      <c r="C585" s="11" t="s">
        <v>1165</v>
      </c>
      <c r="D585" s="11" t="s">
        <v>1166</v>
      </c>
      <c r="E585" s="23" t="str">
        <f>IFERROR(__xludf.DUMMYFUNCTION("REGEXEXTRACT(TO_TEXT(A585), ""(\d{2}/\d{2}/\d{4})"")"),"27/05/2021")</f>
        <v>27/05/2021</v>
      </c>
      <c r="F585" s="26">
        <f t="shared" si="1"/>
        <v>44343</v>
      </c>
    </row>
    <row r="586">
      <c r="A586" s="10" t="s">
        <v>3746</v>
      </c>
      <c r="B586" s="25" t="s">
        <v>3747</v>
      </c>
      <c r="C586" s="10" t="s">
        <v>1167</v>
      </c>
      <c r="D586" s="10" t="s">
        <v>1168</v>
      </c>
      <c r="E586" s="23" t="str">
        <f>IFERROR(__xludf.DUMMYFUNCTION("REGEXEXTRACT(TO_TEXT(A586), ""(\d{2}/\d{2}/\d{4})"")"),"29/05/2021")</f>
        <v>29/05/2021</v>
      </c>
      <c r="F586" s="26">
        <f t="shared" si="1"/>
        <v>44345</v>
      </c>
    </row>
    <row r="587">
      <c r="A587" s="11" t="s">
        <v>3748</v>
      </c>
      <c r="B587" s="25" t="s">
        <v>3749</v>
      </c>
      <c r="C587" s="11" t="s">
        <v>1169</v>
      </c>
      <c r="D587" s="13" t="s">
        <v>1170</v>
      </c>
      <c r="E587" s="23" t="str">
        <f>IFERROR(__xludf.DUMMYFUNCTION("REGEXEXTRACT(TO_TEXT(A587), ""(\d{2}/\d{2}/\d{4})"")"),"01/06/2021")</f>
        <v>01/06/2021</v>
      </c>
      <c r="F587" s="26">
        <f t="shared" si="1"/>
        <v>44348</v>
      </c>
    </row>
    <row r="588">
      <c r="A588" s="10" t="s">
        <v>3750</v>
      </c>
      <c r="B588" s="25" t="s">
        <v>3751</v>
      </c>
      <c r="C588" s="12" t="s">
        <v>1171</v>
      </c>
      <c r="D588" s="12" t="s">
        <v>1172</v>
      </c>
      <c r="E588" s="23" t="str">
        <f>IFERROR(__xludf.DUMMYFUNCTION("REGEXEXTRACT(TO_TEXT(A588), ""(\d{2}/\d{2}/\d{4})"")"),"03/06/2021")</f>
        <v>03/06/2021</v>
      </c>
      <c r="F588" s="26">
        <f t="shared" si="1"/>
        <v>44350</v>
      </c>
    </row>
    <row r="589">
      <c r="A589" s="11" t="s">
        <v>3752</v>
      </c>
      <c r="B589" s="25" t="s">
        <v>3753</v>
      </c>
      <c r="C589" s="11" t="s">
        <v>1173</v>
      </c>
      <c r="D589" s="13" t="s">
        <v>1174</v>
      </c>
      <c r="E589" s="23" t="str">
        <f>IFERROR(__xludf.DUMMYFUNCTION("REGEXEXTRACT(TO_TEXT(A589), ""(\d{2}/\d{2}/\d{4})"")"),"05/06/2021")</f>
        <v>05/06/2021</v>
      </c>
      <c r="F589" s="26">
        <f t="shared" si="1"/>
        <v>44352</v>
      </c>
    </row>
    <row r="590">
      <c r="A590" s="10" t="s">
        <v>3754</v>
      </c>
      <c r="B590" s="25" t="s">
        <v>3755</v>
      </c>
      <c r="C590" s="10" t="s">
        <v>1175</v>
      </c>
      <c r="D590" s="12" t="s">
        <v>1176</v>
      </c>
      <c r="E590" s="23" t="str">
        <f>IFERROR(__xludf.DUMMYFUNCTION("REGEXEXTRACT(TO_TEXT(A590), ""(\d{2}/\d{2}/\d{4})"")"),"08/06/2021")</f>
        <v>08/06/2021</v>
      </c>
      <c r="F590" s="26">
        <f t="shared" si="1"/>
        <v>44355</v>
      </c>
    </row>
    <row r="591">
      <c r="A591" s="11" t="s">
        <v>3756</v>
      </c>
      <c r="B591" s="25" t="s">
        <v>3757</v>
      </c>
      <c r="C591" s="11" t="s">
        <v>1177</v>
      </c>
      <c r="D591" s="11" t="s">
        <v>1178</v>
      </c>
      <c r="E591" s="23" t="str">
        <f>IFERROR(__xludf.DUMMYFUNCTION("REGEXEXTRACT(TO_TEXT(A591), ""(\d{2}/\d{2}/\d{4})"")"),"10/06/2021")</f>
        <v>10/06/2021</v>
      </c>
      <c r="F591" s="26">
        <f t="shared" si="1"/>
        <v>44357</v>
      </c>
    </row>
    <row r="592">
      <c r="A592" s="10" t="s">
        <v>3758</v>
      </c>
      <c r="B592" s="25" t="s">
        <v>3759</v>
      </c>
      <c r="C592" s="10" t="s">
        <v>1179</v>
      </c>
      <c r="D592" s="12" t="s">
        <v>1180</v>
      </c>
      <c r="E592" s="23" t="str">
        <f>IFERROR(__xludf.DUMMYFUNCTION("REGEXEXTRACT(TO_TEXT(A592), ""(\d{2}/\d{2}/\d{4})"")"),"12/06/2021")</f>
        <v>12/06/2021</v>
      </c>
      <c r="F592" s="26">
        <f t="shared" si="1"/>
        <v>44359</v>
      </c>
    </row>
    <row r="593">
      <c r="A593" s="11" t="s">
        <v>3760</v>
      </c>
      <c r="B593" s="25" t="s">
        <v>3761</v>
      </c>
      <c r="C593" s="11" t="s">
        <v>1181</v>
      </c>
      <c r="D593" s="11" t="s">
        <v>1182</v>
      </c>
      <c r="E593" s="23" t="str">
        <f>IFERROR(__xludf.DUMMYFUNCTION("REGEXEXTRACT(TO_TEXT(A593), ""(\d{2}/\d{2}/\d{4})"")"),"15/06/2021")</f>
        <v>15/06/2021</v>
      </c>
      <c r="F593" s="26">
        <f t="shared" si="1"/>
        <v>44362</v>
      </c>
    </row>
    <row r="594">
      <c r="A594" s="10" t="s">
        <v>3762</v>
      </c>
      <c r="B594" s="25" t="s">
        <v>3763</v>
      </c>
      <c r="C594" s="10" t="s">
        <v>1183</v>
      </c>
      <c r="D594" s="12" t="s">
        <v>1184</v>
      </c>
      <c r="E594" s="23" t="str">
        <f>IFERROR(__xludf.DUMMYFUNCTION("REGEXEXTRACT(TO_TEXT(A594), ""(\d{2}/\d{2}/\d{4})"")"),"17/06/2021")</f>
        <v>17/06/2021</v>
      </c>
      <c r="F594" s="26">
        <f t="shared" si="1"/>
        <v>44364</v>
      </c>
    </row>
    <row r="595">
      <c r="A595" s="11" t="s">
        <v>3764</v>
      </c>
      <c r="B595" s="25" t="s">
        <v>3765</v>
      </c>
      <c r="C595" s="11" t="s">
        <v>1185</v>
      </c>
      <c r="D595" s="11" t="s">
        <v>1186</v>
      </c>
      <c r="E595" s="23" t="str">
        <f>IFERROR(__xludf.DUMMYFUNCTION("REGEXEXTRACT(TO_TEXT(A595), ""(\d{2}/\d{2}/\d{4})"")"),"19/06/2021")</f>
        <v>19/06/2021</v>
      </c>
      <c r="F595" s="26">
        <f t="shared" si="1"/>
        <v>44366</v>
      </c>
    </row>
    <row r="596">
      <c r="A596" s="10" t="s">
        <v>3766</v>
      </c>
      <c r="B596" s="25" t="s">
        <v>3767</v>
      </c>
      <c r="C596" s="10" t="s">
        <v>1187</v>
      </c>
      <c r="D596" s="10" t="s">
        <v>1188</v>
      </c>
      <c r="E596" s="23" t="str">
        <f>IFERROR(__xludf.DUMMYFUNCTION("REGEXEXTRACT(TO_TEXT(A596), ""(\d{2}/\d{2}/\d{4})"")"),"22/06/2021")</f>
        <v>22/06/2021</v>
      </c>
      <c r="F596" s="26">
        <f t="shared" si="1"/>
        <v>44369</v>
      </c>
    </row>
    <row r="597">
      <c r="A597" s="11" t="s">
        <v>3768</v>
      </c>
      <c r="B597" s="25" t="s">
        <v>3769</v>
      </c>
      <c r="C597" s="11" t="s">
        <v>1189</v>
      </c>
      <c r="D597" s="13" t="s">
        <v>1190</v>
      </c>
      <c r="E597" s="23" t="str">
        <f>IFERROR(__xludf.DUMMYFUNCTION("REGEXEXTRACT(TO_TEXT(A597), ""(\d{2}/\d{2}/\d{4})"")"),"24/06/2021")</f>
        <v>24/06/2021</v>
      </c>
      <c r="F597" s="26">
        <f t="shared" si="1"/>
        <v>44371</v>
      </c>
    </row>
    <row r="598">
      <c r="A598" s="10" t="s">
        <v>3770</v>
      </c>
      <c r="B598" s="25" t="s">
        <v>3771</v>
      </c>
      <c r="C598" s="10" t="s">
        <v>1191</v>
      </c>
      <c r="D598" s="10" t="s">
        <v>1192</v>
      </c>
      <c r="E598" s="23" t="str">
        <f>IFERROR(__xludf.DUMMYFUNCTION("REGEXEXTRACT(TO_TEXT(A598), ""(\d{2}/\d{2}/\d{4})"")"),"26/06/2021")</f>
        <v>26/06/2021</v>
      </c>
      <c r="F598" s="26">
        <f t="shared" si="1"/>
        <v>44373</v>
      </c>
    </row>
    <row r="599">
      <c r="A599" s="11" t="s">
        <v>3772</v>
      </c>
      <c r="B599" s="25" t="s">
        <v>3773</v>
      </c>
      <c r="C599" s="11" t="s">
        <v>1193</v>
      </c>
      <c r="D599" s="11" t="s">
        <v>1194</v>
      </c>
      <c r="E599" s="23" t="str">
        <f>IFERROR(__xludf.DUMMYFUNCTION("REGEXEXTRACT(TO_TEXT(A599), ""(\d{2}/\d{2}/\d{4})"")"),"29/06/2021")</f>
        <v>29/06/2021</v>
      </c>
      <c r="F599" s="26">
        <f t="shared" si="1"/>
        <v>44376</v>
      </c>
    </row>
    <row r="600">
      <c r="A600" s="10" t="s">
        <v>3774</v>
      </c>
      <c r="B600" s="25" t="s">
        <v>3775</v>
      </c>
      <c r="C600" s="10" t="s">
        <v>1195</v>
      </c>
      <c r="D600" s="10" t="s">
        <v>1196</v>
      </c>
      <c r="E600" s="23" t="str">
        <f>IFERROR(__xludf.DUMMYFUNCTION("REGEXEXTRACT(TO_TEXT(A600), ""(\d{2}/\d{2}/\d{4})"")"),"01/07/2021")</f>
        <v>01/07/2021</v>
      </c>
      <c r="F600" s="26">
        <f t="shared" si="1"/>
        <v>44378</v>
      </c>
    </row>
    <row r="601">
      <c r="A601" s="11" t="s">
        <v>3776</v>
      </c>
      <c r="B601" s="25" t="s">
        <v>3777</v>
      </c>
      <c r="C601" s="13" t="s">
        <v>1197</v>
      </c>
      <c r="D601" s="11" t="s">
        <v>1198</v>
      </c>
      <c r="E601" s="23" t="str">
        <f>IFERROR(__xludf.DUMMYFUNCTION("REGEXEXTRACT(TO_TEXT(A601), ""(\d{2}/\d{2}/\d{4})"")"),"03/07/2021")</f>
        <v>03/07/2021</v>
      </c>
      <c r="F601" s="26">
        <f t="shared" si="1"/>
        <v>44380</v>
      </c>
    </row>
    <row r="602">
      <c r="A602" s="10" t="s">
        <v>3778</v>
      </c>
      <c r="B602" s="25" t="s">
        <v>3779</v>
      </c>
      <c r="C602" s="10" t="s">
        <v>1199</v>
      </c>
      <c r="D602" s="10" t="s">
        <v>1200</v>
      </c>
      <c r="E602" s="23" t="str">
        <f>IFERROR(__xludf.DUMMYFUNCTION("REGEXEXTRACT(TO_TEXT(A602), ""(\d{2}/\d{2}/\d{4})"")"),"06/07/2021")</f>
        <v>06/07/2021</v>
      </c>
      <c r="F602" s="26">
        <f t="shared" si="1"/>
        <v>44383</v>
      </c>
    </row>
    <row r="603">
      <c r="A603" s="11" t="s">
        <v>3780</v>
      </c>
      <c r="B603" s="25" t="s">
        <v>3781</v>
      </c>
      <c r="C603" s="11" t="s">
        <v>1201</v>
      </c>
      <c r="D603" s="11" t="s">
        <v>1202</v>
      </c>
      <c r="E603" s="23" t="str">
        <f>IFERROR(__xludf.DUMMYFUNCTION("REGEXEXTRACT(TO_TEXT(A603), ""(\d{2}/\d{2}/\d{4})"")"),"08/07/2021")</f>
        <v>08/07/2021</v>
      </c>
      <c r="F603" s="26">
        <f t="shared" si="1"/>
        <v>44385</v>
      </c>
    </row>
    <row r="604">
      <c r="A604" s="10" t="s">
        <v>3782</v>
      </c>
      <c r="B604" s="25" t="s">
        <v>3783</v>
      </c>
      <c r="C604" s="10" t="s">
        <v>1203</v>
      </c>
      <c r="D604" s="12" t="s">
        <v>1204</v>
      </c>
      <c r="E604" s="23" t="str">
        <f>IFERROR(__xludf.DUMMYFUNCTION("REGEXEXTRACT(TO_TEXT(A604), ""(\d{2}/\d{2}/\d{4})"")"),"10/07/2021")</f>
        <v>10/07/2021</v>
      </c>
      <c r="F604" s="26">
        <f t="shared" si="1"/>
        <v>44387</v>
      </c>
    </row>
    <row r="605">
      <c r="A605" s="11" t="s">
        <v>3784</v>
      </c>
      <c r="B605" s="25" t="s">
        <v>3785</v>
      </c>
      <c r="C605" s="11" t="s">
        <v>1205</v>
      </c>
      <c r="D605" s="11" t="s">
        <v>1206</v>
      </c>
      <c r="E605" s="23" t="str">
        <f>IFERROR(__xludf.DUMMYFUNCTION("REGEXEXTRACT(TO_TEXT(A605), ""(\d{2}/\d{2}/\d{4})"")"),"13/07/2021")</f>
        <v>13/07/2021</v>
      </c>
      <c r="F605" s="26">
        <f t="shared" si="1"/>
        <v>44390</v>
      </c>
    </row>
    <row r="606">
      <c r="A606" s="10" t="s">
        <v>3786</v>
      </c>
      <c r="B606" s="25" t="s">
        <v>3787</v>
      </c>
      <c r="C606" s="10" t="s">
        <v>1207</v>
      </c>
      <c r="D606" s="10" t="s">
        <v>1208</v>
      </c>
      <c r="E606" s="23" t="str">
        <f>IFERROR(__xludf.DUMMYFUNCTION("REGEXEXTRACT(TO_TEXT(A606), ""(\d{2}/\d{2}/\d{4})"")"),"15/07/2021")</f>
        <v>15/07/2021</v>
      </c>
      <c r="F606" s="26">
        <f t="shared" si="1"/>
        <v>44392</v>
      </c>
    </row>
    <row r="607">
      <c r="A607" s="11" t="s">
        <v>3788</v>
      </c>
      <c r="B607" s="25" t="s">
        <v>3789</v>
      </c>
      <c r="C607" s="11" t="s">
        <v>1209</v>
      </c>
      <c r="D607" s="11" t="s">
        <v>1210</v>
      </c>
      <c r="E607" s="23" t="str">
        <f>IFERROR(__xludf.DUMMYFUNCTION("REGEXEXTRACT(TO_TEXT(A607), ""(\d{2}/\d{2}/\d{4})"")"),"17/07/2021")</f>
        <v>17/07/2021</v>
      </c>
      <c r="F607" s="26">
        <f t="shared" si="1"/>
        <v>44394</v>
      </c>
    </row>
    <row r="608">
      <c r="A608" s="10" t="s">
        <v>3790</v>
      </c>
      <c r="B608" s="25" t="s">
        <v>3791</v>
      </c>
      <c r="C608" s="10" t="s">
        <v>1211</v>
      </c>
      <c r="D608" s="10" t="s">
        <v>1212</v>
      </c>
      <c r="E608" s="23" t="str">
        <f>IFERROR(__xludf.DUMMYFUNCTION("REGEXEXTRACT(TO_TEXT(A608), ""(\d{2}/\d{2}/\d{4})"")"),"20/07/2021")</f>
        <v>20/07/2021</v>
      </c>
      <c r="F608" s="26">
        <f t="shared" si="1"/>
        <v>44397</v>
      </c>
    </row>
    <row r="609">
      <c r="A609" s="11" t="s">
        <v>3792</v>
      </c>
      <c r="B609" s="25" t="s">
        <v>3793</v>
      </c>
      <c r="C609" s="11" t="s">
        <v>1213</v>
      </c>
      <c r="D609" s="11" t="s">
        <v>1214</v>
      </c>
      <c r="E609" s="23" t="str">
        <f>IFERROR(__xludf.DUMMYFUNCTION("REGEXEXTRACT(TO_TEXT(A609), ""(\d{2}/\d{2}/\d{4})"")"),"22/07/2021")</f>
        <v>22/07/2021</v>
      </c>
      <c r="F609" s="26">
        <f t="shared" si="1"/>
        <v>44399</v>
      </c>
    </row>
    <row r="610">
      <c r="A610" s="10" t="s">
        <v>3794</v>
      </c>
      <c r="B610" s="25" t="s">
        <v>3795</v>
      </c>
      <c r="C610" s="10" t="s">
        <v>1215</v>
      </c>
      <c r="D610" s="10" t="s">
        <v>1216</v>
      </c>
      <c r="E610" s="23" t="str">
        <f>IFERROR(__xludf.DUMMYFUNCTION("REGEXEXTRACT(TO_TEXT(A610), ""(\d{2}/\d{2}/\d{4})"")"),"19/08/2021")</f>
        <v>19/08/2021</v>
      </c>
      <c r="F610" s="26">
        <f t="shared" si="1"/>
        <v>44427</v>
      </c>
    </row>
    <row r="611">
      <c r="A611" s="11" t="s">
        <v>3796</v>
      </c>
      <c r="B611" s="25" t="s">
        <v>3797</v>
      </c>
      <c r="C611" s="11" t="s">
        <v>1217</v>
      </c>
      <c r="D611" s="11" t="s">
        <v>1218</v>
      </c>
      <c r="E611" s="23" t="str">
        <f>IFERROR(__xludf.DUMMYFUNCTION("REGEXEXTRACT(TO_TEXT(A611), ""(\d{2}/\d{2}/\d{4})"")"),"21/08/2021")</f>
        <v>21/08/2021</v>
      </c>
      <c r="F611" s="26">
        <f t="shared" si="1"/>
        <v>44429</v>
      </c>
    </row>
    <row r="612">
      <c r="A612" s="10" t="s">
        <v>3798</v>
      </c>
      <c r="B612" s="25" t="s">
        <v>3799</v>
      </c>
      <c r="C612" s="10" t="s">
        <v>1219</v>
      </c>
      <c r="D612" s="12" t="s">
        <v>1220</v>
      </c>
      <c r="E612" s="23" t="str">
        <f>IFERROR(__xludf.DUMMYFUNCTION("REGEXEXTRACT(TO_TEXT(A612), ""(\d{2}/\d{2}/\d{4})"")"),"24/08/2021")</f>
        <v>24/08/2021</v>
      </c>
      <c r="F612" s="26">
        <f t="shared" si="1"/>
        <v>44432</v>
      </c>
    </row>
    <row r="613">
      <c r="A613" s="11" t="s">
        <v>3800</v>
      </c>
      <c r="B613" s="25" t="s">
        <v>3801</v>
      </c>
      <c r="C613" s="11" t="s">
        <v>1221</v>
      </c>
      <c r="D613" s="11" t="s">
        <v>1222</v>
      </c>
      <c r="E613" s="23" t="str">
        <f>IFERROR(__xludf.DUMMYFUNCTION("REGEXEXTRACT(TO_TEXT(A613), ""(\d{2}/\d{2}/\d{4})"")"),"26/08/2021")</f>
        <v>26/08/2021</v>
      </c>
      <c r="F613" s="26">
        <f t="shared" si="1"/>
        <v>44434</v>
      </c>
    </row>
    <row r="614">
      <c r="A614" s="10" t="s">
        <v>3802</v>
      </c>
      <c r="B614" s="25" t="s">
        <v>3803</v>
      </c>
      <c r="C614" s="10" t="s">
        <v>1223</v>
      </c>
      <c r="D614" s="10" t="s">
        <v>1224</v>
      </c>
      <c r="E614" s="23" t="str">
        <f>IFERROR(__xludf.DUMMYFUNCTION("REGEXEXTRACT(TO_TEXT(A614), ""(\d{2}/\d{2}/\d{4})"")"),"28/08/2021")</f>
        <v>28/08/2021</v>
      </c>
      <c r="F614" s="26">
        <f t="shared" si="1"/>
        <v>44436</v>
      </c>
    </row>
    <row r="615">
      <c r="A615" s="11" t="s">
        <v>3804</v>
      </c>
      <c r="B615" s="25" t="s">
        <v>3805</v>
      </c>
      <c r="C615" s="11" t="s">
        <v>1225</v>
      </c>
      <c r="D615" s="11" t="s">
        <v>1226</v>
      </c>
      <c r="E615" s="23" t="str">
        <f>IFERROR(__xludf.DUMMYFUNCTION("REGEXEXTRACT(TO_TEXT(A615), ""(\d{2}/\d{2}/\d{4})"")"),"31/08/2021")</f>
        <v>31/08/2021</v>
      </c>
      <c r="F615" s="26">
        <f t="shared" si="1"/>
        <v>44439</v>
      </c>
    </row>
    <row r="616">
      <c r="A616" s="10" t="s">
        <v>3806</v>
      </c>
      <c r="B616" s="25" t="s">
        <v>3807</v>
      </c>
      <c r="C616" s="10" t="s">
        <v>1227</v>
      </c>
      <c r="D616" s="10" t="s">
        <v>1228</v>
      </c>
      <c r="E616" s="23" t="str">
        <f>IFERROR(__xludf.DUMMYFUNCTION("REGEXEXTRACT(TO_TEXT(A616), ""(\d{2}/\d{2}/\d{4})"")"),"02/09/2021")</f>
        <v>02/09/2021</v>
      </c>
      <c r="F616" s="26">
        <f t="shared" si="1"/>
        <v>44441</v>
      </c>
    </row>
    <row r="617">
      <c r="A617" s="11" t="s">
        <v>3808</v>
      </c>
      <c r="B617" s="25" t="s">
        <v>3809</v>
      </c>
      <c r="C617" s="11" t="s">
        <v>1229</v>
      </c>
      <c r="D617" s="11" t="s">
        <v>1230</v>
      </c>
      <c r="E617" s="23" t="str">
        <f>IFERROR(__xludf.DUMMYFUNCTION("REGEXEXTRACT(TO_TEXT(A617), ""(\d{2}/\d{2}/\d{4})"")"),"04/09/2021")</f>
        <v>04/09/2021</v>
      </c>
      <c r="F617" s="26">
        <f t="shared" si="1"/>
        <v>44443</v>
      </c>
    </row>
    <row r="618">
      <c r="A618" s="10" t="s">
        <v>3810</v>
      </c>
      <c r="B618" s="25" t="s">
        <v>3811</v>
      </c>
      <c r="C618" s="10" t="s">
        <v>1231</v>
      </c>
      <c r="D618" s="10" t="s">
        <v>1232</v>
      </c>
      <c r="E618" s="23" t="str">
        <f>IFERROR(__xludf.DUMMYFUNCTION("REGEXEXTRACT(TO_TEXT(A618), ""(\d{2}/\d{2}/\d{4})"")"),"07/09/2021")</f>
        <v>07/09/2021</v>
      </c>
      <c r="F618" s="26">
        <f t="shared" si="1"/>
        <v>44446</v>
      </c>
    </row>
    <row r="619">
      <c r="A619" s="11" t="s">
        <v>3812</v>
      </c>
      <c r="B619" s="25" t="s">
        <v>3813</v>
      </c>
      <c r="C619" s="11" t="s">
        <v>1233</v>
      </c>
      <c r="D619" s="11" t="s">
        <v>1234</v>
      </c>
      <c r="E619" s="23" t="str">
        <f>IFERROR(__xludf.DUMMYFUNCTION("REGEXEXTRACT(TO_TEXT(A619), ""(\d{2}/\d{2}/\d{4})"")"),"09/09/2021")</f>
        <v>09/09/2021</v>
      </c>
      <c r="F619" s="26">
        <f t="shared" si="1"/>
        <v>44448</v>
      </c>
    </row>
    <row r="620">
      <c r="A620" s="10" t="s">
        <v>3814</v>
      </c>
      <c r="B620" s="25" t="s">
        <v>3815</v>
      </c>
      <c r="C620" s="10" t="s">
        <v>1235</v>
      </c>
      <c r="D620" s="10" t="s">
        <v>1236</v>
      </c>
      <c r="E620" s="23" t="str">
        <f>IFERROR(__xludf.DUMMYFUNCTION("REGEXEXTRACT(TO_TEXT(A620), ""(\d{2}/\d{2}/\d{4})"")"),"11/09/2021")</f>
        <v>11/09/2021</v>
      </c>
      <c r="F620" s="26">
        <f t="shared" si="1"/>
        <v>44450</v>
      </c>
    </row>
    <row r="621">
      <c r="A621" s="11" t="s">
        <v>3816</v>
      </c>
      <c r="B621" s="25" t="s">
        <v>3817</v>
      </c>
      <c r="C621" s="11" t="s">
        <v>1237</v>
      </c>
      <c r="D621" s="11" t="s">
        <v>1238</v>
      </c>
      <c r="E621" s="23" t="str">
        <f>IFERROR(__xludf.DUMMYFUNCTION("REGEXEXTRACT(TO_TEXT(A621), ""(\d{2}/\d{2}/\d{4})"")"),"14/09/2021")</f>
        <v>14/09/2021</v>
      </c>
      <c r="F621" s="26">
        <f t="shared" si="1"/>
        <v>44453</v>
      </c>
    </row>
    <row r="622">
      <c r="A622" s="10" t="s">
        <v>3818</v>
      </c>
      <c r="B622" s="25" t="s">
        <v>3819</v>
      </c>
      <c r="C622" s="10" t="s">
        <v>1239</v>
      </c>
      <c r="D622" s="10" t="s">
        <v>1240</v>
      </c>
      <c r="E622" s="23" t="str">
        <f>IFERROR(__xludf.DUMMYFUNCTION("REGEXEXTRACT(TO_TEXT(A622), ""(\d{2}/\d{2}/\d{4})"")"),"16/09/2021")</f>
        <v>16/09/2021</v>
      </c>
      <c r="F622" s="26">
        <f t="shared" si="1"/>
        <v>44455</v>
      </c>
    </row>
    <row r="623">
      <c r="A623" s="11" t="s">
        <v>3820</v>
      </c>
      <c r="B623" s="25" t="s">
        <v>3821</v>
      </c>
      <c r="C623" s="11" t="s">
        <v>1241</v>
      </c>
      <c r="D623" s="11" t="s">
        <v>1242</v>
      </c>
      <c r="E623" s="23" t="str">
        <f>IFERROR(__xludf.DUMMYFUNCTION("REGEXEXTRACT(TO_TEXT(A623), ""(\d{2}/\d{2}/\d{4})"")"),"18/09/2021")</f>
        <v>18/09/2021</v>
      </c>
      <c r="F623" s="26">
        <f t="shared" si="1"/>
        <v>44457</v>
      </c>
    </row>
    <row r="624">
      <c r="A624" s="10" t="s">
        <v>3822</v>
      </c>
      <c r="B624" s="25" t="s">
        <v>3823</v>
      </c>
      <c r="C624" s="10" t="s">
        <v>1243</v>
      </c>
      <c r="D624" s="10" t="s">
        <v>1244</v>
      </c>
      <c r="E624" s="23" t="str">
        <f>IFERROR(__xludf.DUMMYFUNCTION("REGEXEXTRACT(TO_TEXT(A624), ""(\d{2}/\d{2}/\d{4})"")"),"21/09/2021")</f>
        <v>21/09/2021</v>
      </c>
      <c r="F624" s="26">
        <f t="shared" si="1"/>
        <v>44460</v>
      </c>
    </row>
    <row r="625">
      <c r="A625" s="11" t="s">
        <v>3824</v>
      </c>
      <c r="B625" s="25" t="s">
        <v>3825</v>
      </c>
      <c r="C625" s="11" t="s">
        <v>1245</v>
      </c>
      <c r="D625" s="11" t="s">
        <v>1246</v>
      </c>
      <c r="E625" s="23" t="str">
        <f>IFERROR(__xludf.DUMMYFUNCTION("REGEXEXTRACT(TO_TEXT(A625), ""(\d{2}/\d{2}/\d{4})"")"),"23/09/2021")</f>
        <v>23/09/2021</v>
      </c>
      <c r="F625" s="26">
        <f t="shared" si="1"/>
        <v>44462</v>
      </c>
    </row>
    <row r="626">
      <c r="A626" s="10" t="s">
        <v>3826</v>
      </c>
      <c r="B626" s="25" t="s">
        <v>3827</v>
      </c>
      <c r="C626" s="10" t="s">
        <v>1247</v>
      </c>
      <c r="D626" s="12" t="s">
        <v>1248</v>
      </c>
      <c r="E626" s="23" t="str">
        <f>IFERROR(__xludf.DUMMYFUNCTION("REGEXEXTRACT(TO_TEXT(A626), ""(\d{2}/\d{2}/\d{4})"")"),"25/09/2021")</f>
        <v>25/09/2021</v>
      </c>
      <c r="F626" s="26">
        <f t="shared" si="1"/>
        <v>44464</v>
      </c>
    </row>
    <row r="627">
      <c r="A627" s="11" t="s">
        <v>3828</v>
      </c>
      <c r="B627" s="25" t="s">
        <v>3829</v>
      </c>
      <c r="C627" s="11" t="s">
        <v>1249</v>
      </c>
      <c r="D627" s="11" t="s">
        <v>1250</v>
      </c>
      <c r="E627" s="23" t="str">
        <f>IFERROR(__xludf.DUMMYFUNCTION("REGEXEXTRACT(TO_TEXT(A627), ""(\d{2}/\d{2}/\d{4})"")"),"28/09/2021")</f>
        <v>28/09/2021</v>
      </c>
      <c r="F627" s="26">
        <f t="shared" si="1"/>
        <v>44467</v>
      </c>
    </row>
    <row r="628">
      <c r="A628" s="10" t="s">
        <v>3830</v>
      </c>
      <c r="B628" s="25" t="s">
        <v>3831</v>
      </c>
      <c r="C628" s="10" t="s">
        <v>1251</v>
      </c>
      <c r="D628" s="10" t="s">
        <v>1252</v>
      </c>
      <c r="E628" s="23" t="str">
        <f>IFERROR(__xludf.DUMMYFUNCTION("REGEXEXTRACT(TO_TEXT(A628), ""(\d{2}/\d{2}/\d{4})"")"),"30/09/2021")</f>
        <v>30/09/2021</v>
      </c>
      <c r="F628" s="26">
        <f t="shared" si="1"/>
        <v>44469</v>
      </c>
    </row>
    <row r="629">
      <c r="A629" s="11" t="s">
        <v>3832</v>
      </c>
      <c r="B629" s="25" t="s">
        <v>3833</v>
      </c>
      <c r="C629" s="11" t="s">
        <v>1253</v>
      </c>
      <c r="D629" s="11" t="s">
        <v>1254</v>
      </c>
      <c r="E629" s="23" t="str">
        <f>IFERROR(__xludf.DUMMYFUNCTION("REGEXEXTRACT(TO_TEXT(A629), ""(\d{2}/\d{2}/\d{4})"")"),"02/10/2021")</f>
        <v>02/10/2021</v>
      </c>
      <c r="F629" s="26">
        <f t="shared" si="1"/>
        <v>44471</v>
      </c>
    </row>
    <row r="630">
      <c r="A630" s="10" t="s">
        <v>3834</v>
      </c>
      <c r="B630" s="25" t="s">
        <v>3835</v>
      </c>
      <c r="C630" s="10" t="s">
        <v>1255</v>
      </c>
      <c r="D630" s="10" t="s">
        <v>1256</v>
      </c>
      <c r="E630" s="23" t="str">
        <f>IFERROR(__xludf.DUMMYFUNCTION("REGEXEXTRACT(TO_TEXT(A630), ""(\d{2}/\d{2}/\d{4})"")"),"05/10/2021")</f>
        <v>05/10/2021</v>
      </c>
      <c r="F630" s="26">
        <f t="shared" si="1"/>
        <v>44474</v>
      </c>
    </row>
    <row r="631">
      <c r="A631" s="11" t="s">
        <v>3836</v>
      </c>
      <c r="B631" s="25" t="s">
        <v>3837</v>
      </c>
      <c r="C631" s="11" t="s">
        <v>1257</v>
      </c>
      <c r="D631" s="11" t="s">
        <v>1258</v>
      </c>
      <c r="E631" s="23" t="str">
        <f>IFERROR(__xludf.DUMMYFUNCTION("REGEXEXTRACT(TO_TEXT(A631), ""(\d{2}/\d{2}/\d{4})"")"),"07/10/2021")</f>
        <v>07/10/2021</v>
      </c>
      <c r="F631" s="26">
        <f t="shared" si="1"/>
        <v>44476</v>
      </c>
    </row>
    <row r="632">
      <c r="A632" s="10" t="s">
        <v>3838</v>
      </c>
      <c r="B632" s="25" t="s">
        <v>3839</v>
      </c>
      <c r="C632" s="10" t="s">
        <v>1259</v>
      </c>
      <c r="D632" s="10" t="s">
        <v>1260</v>
      </c>
      <c r="E632" s="23" t="str">
        <f>IFERROR(__xludf.DUMMYFUNCTION("REGEXEXTRACT(TO_TEXT(A632), ""(\d{2}/\d{2}/\d{4})"")"),"09/10/2021")</f>
        <v>09/10/2021</v>
      </c>
      <c r="F632" s="26">
        <f t="shared" si="1"/>
        <v>44478</v>
      </c>
    </row>
    <row r="633">
      <c r="A633" s="11" t="s">
        <v>3840</v>
      </c>
      <c r="B633" s="25" t="s">
        <v>3841</v>
      </c>
      <c r="C633" s="11" t="s">
        <v>1261</v>
      </c>
      <c r="D633" s="11" t="s">
        <v>1262</v>
      </c>
      <c r="E633" s="23" t="str">
        <f>IFERROR(__xludf.DUMMYFUNCTION("REGEXEXTRACT(TO_TEXT(A633), ""(\d{2}/\d{2}/\d{4})"")"),"12/10/2021")</f>
        <v>12/10/2021</v>
      </c>
      <c r="F633" s="26">
        <f t="shared" si="1"/>
        <v>44481</v>
      </c>
    </row>
    <row r="634">
      <c r="A634" s="10" t="s">
        <v>3842</v>
      </c>
      <c r="B634" s="25" t="s">
        <v>3843</v>
      </c>
      <c r="C634" s="10" t="s">
        <v>1263</v>
      </c>
      <c r="D634" s="10" t="s">
        <v>1264</v>
      </c>
      <c r="E634" s="23" t="str">
        <f>IFERROR(__xludf.DUMMYFUNCTION("REGEXEXTRACT(TO_TEXT(A634), ""(\d{2}/\d{2}/\d{4})"")"),"14/10/2021")</f>
        <v>14/10/2021</v>
      </c>
      <c r="F634" s="26">
        <f t="shared" si="1"/>
        <v>44483</v>
      </c>
    </row>
    <row r="635">
      <c r="A635" s="11" t="s">
        <v>3844</v>
      </c>
      <c r="B635" s="25" t="s">
        <v>3845</v>
      </c>
      <c r="C635" s="11" t="s">
        <v>1265</v>
      </c>
      <c r="D635" s="13" t="s">
        <v>1266</v>
      </c>
      <c r="E635" s="23" t="str">
        <f>IFERROR(__xludf.DUMMYFUNCTION("REGEXEXTRACT(TO_TEXT(A635), ""(\d{2}/\d{2}/\d{4})"")"),"16/10/2021")</f>
        <v>16/10/2021</v>
      </c>
      <c r="F635" s="26">
        <f t="shared" si="1"/>
        <v>44485</v>
      </c>
    </row>
    <row r="636">
      <c r="A636" s="10" t="s">
        <v>3846</v>
      </c>
      <c r="B636" s="25" t="s">
        <v>3847</v>
      </c>
      <c r="C636" s="10" t="s">
        <v>1267</v>
      </c>
      <c r="D636" s="12" t="s">
        <v>1268</v>
      </c>
      <c r="E636" s="23" t="str">
        <f>IFERROR(__xludf.DUMMYFUNCTION("REGEXEXTRACT(TO_TEXT(A636), ""(\d{2}/\d{2}/\d{4})"")"),"19/10/2021")</f>
        <v>19/10/2021</v>
      </c>
      <c r="F636" s="26">
        <f t="shared" si="1"/>
        <v>44488</v>
      </c>
    </row>
    <row r="637">
      <c r="A637" s="11" t="s">
        <v>3848</v>
      </c>
      <c r="B637" s="25" t="s">
        <v>3849</v>
      </c>
      <c r="C637" s="11" t="s">
        <v>1269</v>
      </c>
      <c r="D637" s="11" t="s">
        <v>1270</v>
      </c>
      <c r="E637" s="23" t="str">
        <f>IFERROR(__xludf.DUMMYFUNCTION("REGEXEXTRACT(TO_TEXT(A637), ""(\d{2}/\d{2}/\d{4})"")"),"21/10/2021")</f>
        <v>21/10/2021</v>
      </c>
      <c r="F637" s="26">
        <f t="shared" si="1"/>
        <v>44490</v>
      </c>
    </row>
    <row r="638">
      <c r="A638" s="10" t="s">
        <v>3850</v>
      </c>
      <c r="B638" s="25" t="s">
        <v>3851</v>
      </c>
      <c r="C638" s="10" t="s">
        <v>1271</v>
      </c>
      <c r="D638" s="12" t="s">
        <v>1272</v>
      </c>
      <c r="E638" s="23" t="str">
        <f>IFERROR(__xludf.DUMMYFUNCTION("REGEXEXTRACT(TO_TEXT(A638), ""(\d{2}/\d{2}/\d{4})"")"),"23/10/2021")</f>
        <v>23/10/2021</v>
      </c>
      <c r="F638" s="26">
        <f t="shared" si="1"/>
        <v>44492</v>
      </c>
    </row>
    <row r="639">
      <c r="A639" s="11" t="s">
        <v>3852</v>
      </c>
      <c r="B639" s="25" t="s">
        <v>3853</v>
      </c>
      <c r="C639" s="11" t="s">
        <v>1273</v>
      </c>
      <c r="D639" s="11" t="s">
        <v>1274</v>
      </c>
      <c r="E639" s="23" t="str">
        <f>IFERROR(__xludf.DUMMYFUNCTION("REGEXEXTRACT(TO_TEXT(A639), ""(\d{2}/\d{2}/\d{4})"")"),"26/10/2021")</f>
        <v>26/10/2021</v>
      </c>
      <c r="F639" s="26">
        <f t="shared" si="1"/>
        <v>44495</v>
      </c>
    </row>
    <row r="640">
      <c r="A640" s="10" t="s">
        <v>3854</v>
      </c>
      <c r="B640" s="25" t="s">
        <v>3855</v>
      </c>
      <c r="C640" s="10" t="s">
        <v>1275</v>
      </c>
      <c r="D640" s="10" t="s">
        <v>1276</v>
      </c>
      <c r="E640" s="23" t="str">
        <f>IFERROR(__xludf.DUMMYFUNCTION("REGEXEXTRACT(TO_TEXT(A640), ""(\d{2}/\d{2}/\d{4})"")"),"28/10/2021")</f>
        <v>28/10/2021</v>
      </c>
      <c r="F640" s="26">
        <f t="shared" si="1"/>
        <v>44497</v>
      </c>
    </row>
    <row r="641">
      <c r="A641" s="11" t="s">
        <v>3856</v>
      </c>
      <c r="B641" s="25" t="s">
        <v>3857</v>
      </c>
      <c r="C641" s="11" t="s">
        <v>1277</v>
      </c>
      <c r="D641" s="13" t="s">
        <v>1278</v>
      </c>
      <c r="E641" s="23" t="str">
        <f>IFERROR(__xludf.DUMMYFUNCTION("REGEXEXTRACT(TO_TEXT(A641), ""(\d{2}/\d{2}/\d{4})"")"),"30/10/2021")</f>
        <v>30/10/2021</v>
      </c>
      <c r="F641" s="26">
        <f t="shared" si="1"/>
        <v>44499</v>
      </c>
    </row>
    <row r="642">
      <c r="A642" s="10" t="s">
        <v>3858</v>
      </c>
      <c r="B642" s="25" t="s">
        <v>3859</v>
      </c>
      <c r="C642" s="10" t="s">
        <v>1279</v>
      </c>
      <c r="D642" s="10" t="s">
        <v>1280</v>
      </c>
      <c r="E642" s="23" t="str">
        <f>IFERROR(__xludf.DUMMYFUNCTION("REGEXEXTRACT(TO_TEXT(A642), ""(\d{2}/\d{2}/\d{4})"")"),"02/11/2021")</f>
        <v>02/11/2021</v>
      </c>
      <c r="F642" s="26">
        <f t="shared" si="1"/>
        <v>44502</v>
      </c>
    </row>
    <row r="643">
      <c r="A643" s="11" t="s">
        <v>3860</v>
      </c>
      <c r="B643" s="25" t="s">
        <v>3861</v>
      </c>
      <c r="C643" s="11" t="s">
        <v>1281</v>
      </c>
      <c r="D643" s="13" t="s">
        <v>1282</v>
      </c>
      <c r="E643" s="23" t="str">
        <f>IFERROR(__xludf.DUMMYFUNCTION("REGEXEXTRACT(TO_TEXT(A643), ""(\d{2}/\d{2}/\d{4})"")"),"04/11/2021")</f>
        <v>04/11/2021</v>
      </c>
      <c r="F643" s="26">
        <f t="shared" si="1"/>
        <v>44504</v>
      </c>
    </row>
    <row r="644">
      <c r="A644" s="10" t="s">
        <v>3862</v>
      </c>
      <c r="B644" s="25" t="s">
        <v>3863</v>
      </c>
      <c r="C644" s="10" t="s">
        <v>1283</v>
      </c>
      <c r="D644" s="10" t="s">
        <v>1284</v>
      </c>
      <c r="E644" s="23" t="str">
        <f>IFERROR(__xludf.DUMMYFUNCTION("REGEXEXTRACT(TO_TEXT(A644), ""(\d{2}/\d{2}/\d{4})"")"),"06/11/2021")</f>
        <v>06/11/2021</v>
      </c>
      <c r="F644" s="26">
        <f t="shared" si="1"/>
        <v>44506</v>
      </c>
    </row>
    <row r="645">
      <c r="A645" s="11" t="s">
        <v>3864</v>
      </c>
      <c r="B645" s="25" t="s">
        <v>3865</v>
      </c>
      <c r="C645" s="11" t="s">
        <v>1285</v>
      </c>
      <c r="D645" s="13" t="s">
        <v>1286</v>
      </c>
      <c r="E645" s="23" t="str">
        <f>IFERROR(__xludf.DUMMYFUNCTION("REGEXEXTRACT(TO_TEXT(A645), ""(\d{2}/\d{2}/\d{4})"")"),"09/11/2021")</f>
        <v>09/11/2021</v>
      </c>
      <c r="F645" s="26">
        <f t="shared" si="1"/>
        <v>44509</v>
      </c>
    </row>
    <row r="646">
      <c r="A646" s="10" t="s">
        <v>3866</v>
      </c>
      <c r="B646" s="25" t="s">
        <v>3867</v>
      </c>
      <c r="C646" s="10" t="s">
        <v>1287</v>
      </c>
      <c r="D646" s="12" t="s">
        <v>1288</v>
      </c>
      <c r="E646" s="23" t="str">
        <f>IFERROR(__xludf.DUMMYFUNCTION("REGEXEXTRACT(TO_TEXT(A646), ""(\d{2}/\d{2}/\d{4})"")"),"11/11/2021")</f>
        <v>11/11/2021</v>
      </c>
      <c r="F646" s="26">
        <f t="shared" si="1"/>
        <v>44511</v>
      </c>
    </row>
    <row r="647">
      <c r="A647" s="11" t="s">
        <v>3868</v>
      </c>
      <c r="B647" s="25" t="s">
        <v>3869</v>
      </c>
      <c r="C647" s="11" t="s">
        <v>1289</v>
      </c>
      <c r="D647" s="11" t="s">
        <v>1290</v>
      </c>
      <c r="E647" s="23" t="str">
        <f>IFERROR(__xludf.DUMMYFUNCTION("REGEXEXTRACT(TO_TEXT(A647), ""(\d{2}/\d{2}/\d{4})"")"),"13/11/2021")</f>
        <v>13/11/2021</v>
      </c>
      <c r="F647" s="26">
        <f t="shared" si="1"/>
        <v>44513</v>
      </c>
    </row>
    <row r="648">
      <c r="A648" s="10" t="s">
        <v>3870</v>
      </c>
      <c r="B648" s="25" t="s">
        <v>3871</v>
      </c>
      <c r="C648" s="10" t="s">
        <v>1291</v>
      </c>
      <c r="D648" s="10" t="s">
        <v>1292</v>
      </c>
      <c r="E648" s="23" t="str">
        <f>IFERROR(__xludf.DUMMYFUNCTION("REGEXEXTRACT(TO_TEXT(A648), ""(\d{2}/\d{2}/\d{4})"")"),"16/11/2021")</f>
        <v>16/11/2021</v>
      </c>
      <c r="F648" s="26">
        <f t="shared" si="1"/>
        <v>44516</v>
      </c>
    </row>
    <row r="649">
      <c r="A649" s="11" t="s">
        <v>3872</v>
      </c>
      <c r="B649" s="25" t="s">
        <v>3873</v>
      </c>
      <c r="C649" s="11" t="s">
        <v>1293</v>
      </c>
      <c r="D649" s="11" t="s">
        <v>1294</v>
      </c>
      <c r="E649" s="23" t="str">
        <f>IFERROR(__xludf.DUMMYFUNCTION("REGEXEXTRACT(TO_TEXT(A649), ""(\d{2}/\d{2}/\d{4})"")"),"18/11/2021")</f>
        <v>18/11/2021</v>
      </c>
      <c r="F649" s="26">
        <f t="shared" si="1"/>
        <v>44518</v>
      </c>
    </row>
    <row r="650">
      <c r="A650" s="10" t="s">
        <v>3874</v>
      </c>
      <c r="B650" s="25" t="s">
        <v>3875</v>
      </c>
      <c r="C650" s="10" t="s">
        <v>1295</v>
      </c>
      <c r="D650" s="10" t="s">
        <v>1296</v>
      </c>
      <c r="E650" s="23" t="str">
        <f>IFERROR(__xludf.DUMMYFUNCTION("REGEXEXTRACT(TO_TEXT(A650), ""(\d{2}/\d{2}/\d{4})"")"),"20/11/2021")</f>
        <v>20/11/2021</v>
      </c>
      <c r="F650" s="26">
        <f t="shared" si="1"/>
        <v>44520</v>
      </c>
    </row>
    <row r="651">
      <c r="A651" s="11" t="s">
        <v>3876</v>
      </c>
      <c r="B651" s="25" t="s">
        <v>3877</v>
      </c>
      <c r="C651" s="11" t="s">
        <v>1297</v>
      </c>
      <c r="D651" s="13" t="s">
        <v>1298</v>
      </c>
      <c r="E651" s="23" t="str">
        <f>IFERROR(__xludf.DUMMYFUNCTION("REGEXEXTRACT(TO_TEXT(A651), ""(\d{2}/\d{2}/\d{4})"")"),"23/11/2021")</f>
        <v>23/11/2021</v>
      </c>
      <c r="F651" s="26">
        <f t="shared" si="1"/>
        <v>44523</v>
      </c>
    </row>
    <row r="652">
      <c r="A652" s="10" t="s">
        <v>3878</v>
      </c>
      <c r="B652" s="25" t="s">
        <v>3879</v>
      </c>
      <c r="C652" s="10" t="s">
        <v>1299</v>
      </c>
      <c r="D652" s="10" t="s">
        <v>1300</v>
      </c>
      <c r="E652" s="23" t="str">
        <f>IFERROR(__xludf.DUMMYFUNCTION("REGEXEXTRACT(TO_TEXT(A652), ""(\d{2}/\d{2}/\d{4})"")"),"25/11/2021")</f>
        <v>25/11/2021</v>
      </c>
      <c r="F652" s="26">
        <f t="shared" si="1"/>
        <v>44525</v>
      </c>
    </row>
    <row r="653">
      <c r="A653" s="11" t="s">
        <v>3880</v>
      </c>
      <c r="B653" s="25" t="s">
        <v>3881</v>
      </c>
      <c r="C653" s="11" t="s">
        <v>1301</v>
      </c>
      <c r="D653" s="13" t="s">
        <v>1302</v>
      </c>
      <c r="E653" s="23" t="str">
        <f>IFERROR(__xludf.DUMMYFUNCTION("REGEXEXTRACT(TO_TEXT(A653), ""(\d{2}/\d{2}/\d{4})"")"),"27/11/2021")</f>
        <v>27/11/2021</v>
      </c>
      <c r="F653" s="26">
        <f t="shared" si="1"/>
        <v>44527</v>
      </c>
    </row>
    <row r="654">
      <c r="A654" s="10" t="s">
        <v>3882</v>
      </c>
      <c r="B654" s="25" t="s">
        <v>3883</v>
      </c>
      <c r="C654" s="10" t="s">
        <v>1303</v>
      </c>
      <c r="D654" s="10" t="s">
        <v>1304</v>
      </c>
      <c r="E654" s="23" t="str">
        <f>IFERROR(__xludf.DUMMYFUNCTION("REGEXEXTRACT(TO_TEXT(A654), ""(\d{2}/\d{2}/\d{4})"")"),"30/11/2021")</f>
        <v>30/11/2021</v>
      </c>
      <c r="F654" s="26">
        <f t="shared" si="1"/>
        <v>44530</v>
      </c>
    </row>
    <row r="655">
      <c r="A655" s="11" t="s">
        <v>3884</v>
      </c>
      <c r="B655" s="25" t="s">
        <v>3885</v>
      </c>
      <c r="C655" s="11" t="s">
        <v>1305</v>
      </c>
      <c r="D655" s="11" t="s">
        <v>1306</v>
      </c>
      <c r="E655" s="23" t="str">
        <f>IFERROR(__xludf.DUMMYFUNCTION("REGEXEXTRACT(TO_TEXT(A655), ""(\d{2}/\d{2}/\d{4})"")"),"02/12/2021")</f>
        <v>02/12/2021</v>
      </c>
      <c r="F655" s="26">
        <f t="shared" si="1"/>
        <v>44532</v>
      </c>
    </row>
    <row r="656">
      <c r="A656" s="10" t="s">
        <v>3886</v>
      </c>
      <c r="B656" s="25" t="s">
        <v>3887</v>
      </c>
      <c r="C656" s="10" t="s">
        <v>1307</v>
      </c>
      <c r="D656" s="10" t="s">
        <v>1308</v>
      </c>
      <c r="E656" s="23" t="str">
        <f>IFERROR(__xludf.DUMMYFUNCTION("REGEXEXTRACT(TO_TEXT(A656), ""(\d{2}/\d{2}/\d{4})"")"),"04/12/2021")</f>
        <v>04/12/2021</v>
      </c>
      <c r="F656" s="26">
        <f t="shared" si="1"/>
        <v>44534</v>
      </c>
    </row>
    <row r="657">
      <c r="A657" s="11" t="s">
        <v>3888</v>
      </c>
      <c r="B657" s="25" t="s">
        <v>3889</v>
      </c>
      <c r="C657" s="11" t="s">
        <v>1309</v>
      </c>
      <c r="D657" s="13" t="s">
        <v>1310</v>
      </c>
      <c r="E657" s="23" t="str">
        <f>IFERROR(__xludf.DUMMYFUNCTION("REGEXEXTRACT(TO_TEXT(A657), ""(\d{2}/\d{2}/\d{4})"")"),"07/12/2021")</f>
        <v>07/12/2021</v>
      </c>
      <c r="F657" s="26">
        <f t="shared" si="1"/>
        <v>44537</v>
      </c>
    </row>
    <row r="658">
      <c r="A658" s="10" t="s">
        <v>3890</v>
      </c>
      <c r="B658" s="25" t="s">
        <v>3891</v>
      </c>
      <c r="C658" s="10" t="s">
        <v>1311</v>
      </c>
      <c r="D658" s="12" t="s">
        <v>1312</v>
      </c>
      <c r="E658" s="23" t="str">
        <f>IFERROR(__xludf.DUMMYFUNCTION("REGEXEXTRACT(TO_TEXT(A658), ""(\d{2}/\d{2}/\d{4})"")"),"09/12/2021")</f>
        <v>09/12/2021</v>
      </c>
      <c r="F658" s="26">
        <f t="shared" si="1"/>
        <v>44539</v>
      </c>
    </row>
    <row r="659">
      <c r="A659" s="11" t="s">
        <v>3892</v>
      </c>
      <c r="B659" s="25" t="s">
        <v>3893</v>
      </c>
      <c r="C659" s="11" t="s">
        <v>1313</v>
      </c>
      <c r="D659" s="13" t="s">
        <v>1314</v>
      </c>
      <c r="E659" s="23" t="str">
        <f>IFERROR(__xludf.DUMMYFUNCTION("REGEXEXTRACT(TO_TEXT(A659), ""(\d{2}/\d{2}/\d{4})"")"),"11/12/2021")</f>
        <v>11/12/2021</v>
      </c>
      <c r="F659" s="26">
        <f t="shared" si="1"/>
        <v>44541</v>
      </c>
    </row>
    <row r="660">
      <c r="A660" s="10" t="s">
        <v>3894</v>
      </c>
      <c r="B660" s="25" t="s">
        <v>3895</v>
      </c>
      <c r="C660" s="10" t="s">
        <v>1315</v>
      </c>
      <c r="D660" s="10" t="s">
        <v>1316</v>
      </c>
      <c r="E660" s="23" t="str">
        <f>IFERROR(__xludf.DUMMYFUNCTION("REGEXEXTRACT(TO_TEXT(A660), ""(\d{2}/\d{2}/\d{4})"")"),"14/12/2021")</f>
        <v>14/12/2021</v>
      </c>
      <c r="F660" s="26">
        <f t="shared" si="1"/>
        <v>44544</v>
      </c>
    </row>
    <row r="661">
      <c r="A661" s="11" t="s">
        <v>3896</v>
      </c>
      <c r="B661" s="25" t="s">
        <v>3897</v>
      </c>
      <c r="C661" s="11" t="s">
        <v>1317</v>
      </c>
      <c r="D661" s="13" t="s">
        <v>1318</v>
      </c>
      <c r="E661" s="23" t="str">
        <f>IFERROR(__xludf.DUMMYFUNCTION("REGEXEXTRACT(TO_TEXT(A661), ""(\d{2}/\d{2}/\d{4})"")"),"16/12/2021")</f>
        <v>16/12/2021</v>
      </c>
      <c r="F661" s="26">
        <f t="shared" si="1"/>
        <v>44546</v>
      </c>
    </row>
    <row r="662">
      <c r="A662" s="10" t="s">
        <v>3898</v>
      </c>
      <c r="B662" s="25" t="s">
        <v>3899</v>
      </c>
      <c r="C662" s="10" t="s">
        <v>1319</v>
      </c>
      <c r="D662" s="12" t="s">
        <v>1320</v>
      </c>
      <c r="E662" s="23" t="str">
        <f>IFERROR(__xludf.DUMMYFUNCTION("REGEXEXTRACT(TO_TEXT(A662), ""(\d{2}/\d{2}/\d{4})"")"),"18/12/2021")</f>
        <v>18/12/2021</v>
      </c>
      <c r="F662" s="26">
        <f t="shared" si="1"/>
        <v>44548</v>
      </c>
    </row>
    <row r="663">
      <c r="A663" s="11" t="s">
        <v>3900</v>
      </c>
      <c r="B663" s="25" t="s">
        <v>3901</v>
      </c>
      <c r="C663" s="11" t="s">
        <v>1321</v>
      </c>
      <c r="D663" s="11" t="s">
        <v>1322</v>
      </c>
      <c r="E663" s="23" t="str">
        <f>IFERROR(__xludf.DUMMYFUNCTION("REGEXEXTRACT(TO_TEXT(A663), ""(\d{2}/\d{2}/\d{4})"")"),"21/12/2021")</f>
        <v>21/12/2021</v>
      </c>
      <c r="F663" s="26">
        <f t="shared" si="1"/>
        <v>44551</v>
      </c>
    </row>
    <row r="664">
      <c r="A664" s="10" t="s">
        <v>3902</v>
      </c>
      <c r="B664" s="25" t="s">
        <v>3903</v>
      </c>
      <c r="C664" s="10" t="s">
        <v>1323</v>
      </c>
      <c r="D664" s="10" t="s">
        <v>1324</v>
      </c>
      <c r="E664" s="23" t="str">
        <f>IFERROR(__xludf.DUMMYFUNCTION("REGEXEXTRACT(TO_TEXT(A664), ""(\d{2}/\d{2}/\d{4})"")"),"23/12/2021")</f>
        <v>23/12/2021</v>
      </c>
      <c r="F664" s="26">
        <f t="shared" si="1"/>
        <v>44553</v>
      </c>
    </row>
    <row r="665">
      <c r="A665" s="11" t="s">
        <v>3904</v>
      </c>
      <c r="B665" s="25" t="s">
        <v>3905</v>
      </c>
      <c r="C665" s="13" t="s">
        <v>1325</v>
      </c>
      <c r="D665" s="13" t="s">
        <v>1326</v>
      </c>
      <c r="E665" s="23" t="str">
        <f>IFERROR(__xludf.DUMMYFUNCTION("REGEXEXTRACT(TO_TEXT(A665), ""(\d{2}/\d{2}/\d{4})"")"),"25/12/2021")</f>
        <v>25/12/2021</v>
      </c>
      <c r="F665" s="26">
        <f t="shared" si="1"/>
        <v>44555</v>
      </c>
    </row>
    <row r="666">
      <c r="A666" s="10" t="s">
        <v>3906</v>
      </c>
      <c r="B666" s="25" t="s">
        <v>3907</v>
      </c>
      <c r="C666" s="10" t="s">
        <v>1327</v>
      </c>
      <c r="D666" s="10" t="s">
        <v>1328</v>
      </c>
      <c r="E666" s="23" t="str">
        <f>IFERROR(__xludf.DUMMYFUNCTION("REGEXEXTRACT(TO_TEXT(A666), ""(\d{2}/\d{2}/\d{4})"")"),"28/12/2021")</f>
        <v>28/12/2021</v>
      </c>
      <c r="F666" s="26">
        <f t="shared" si="1"/>
        <v>44558</v>
      </c>
    </row>
    <row r="667">
      <c r="A667" s="11" t="s">
        <v>3908</v>
      </c>
      <c r="B667" s="25" t="s">
        <v>3909</v>
      </c>
      <c r="C667" s="11" t="s">
        <v>1329</v>
      </c>
      <c r="D667" s="11" t="s">
        <v>1330</v>
      </c>
      <c r="E667" s="23" t="str">
        <f>IFERROR(__xludf.DUMMYFUNCTION("REGEXEXTRACT(TO_TEXT(A667), ""(\d{2}/\d{2}/\d{4})"")"),"30/12/2021")</f>
        <v>30/12/2021</v>
      </c>
      <c r="F667" s="26">
        <f t="shared" si="1"/>
        <v>44560</v>
      </c>
    </row>
    <row r="668">
      <c r="A668" s="10" t="s">
        <v>3910</v>
      </c>
      <c r="B668" s="25" t="s">
        <v>3911</v>
      </c>
      <c r="C668" s="10" t="s">
        <v>1331</v>
      </c>
      <c r="D668" s="10" t="s">
        <v>1332</v>
      </c>
      <c r="E668" s="23" t="str">
        <f>IFERROR(__xludf.DUMMYFUNCTION("REGEXEXTRACT(TO_TEXT(A668), ""(\d{2}/\d{2}/\d{4})"")"),"01/01/2022")</f>
        <v>01/01/2022</v>
      </c>
      <c r="F668" s="26">
        <f t="shared" si="1"/>
        <v>44562</v>
      </c>
    </row>
    <row r="669">
      <c r="A669" s="11" t="s">
        <v>3912</v>
      </c>
      <c r="B669" s="25" t="s">
        <v>3913</v>
      </c>
      <c r="C669" s="11" t="s">
        <v>1333</v>
      </c>
      <c r="D669" s="13" t="s">
        <v>1334</v>
      </c>
      <c r="E669" s="23" t="str">
        <f>IFERROR(__xludf.DUMMYFUNCTION("REGEXEXTRACT(TO_TEXT(A669), ""(\d{2}/\d{2}/\d{4})"")"),"04/01/2022")</f>
        <v>04/01/2022</v>
      </c>
      <c r="F669" s="26">
        <f t="shared" si="1"/>
        <v>44565</v>
      </c>
    </row>
    <row r="670">
      <c r="A670" s="10" t="s">
        <v>3914</v>
      </c>
      <c r="B670" s="25" t="s">
        <v>3915</v>
      </c>
      <c r="C670" s="12" t="s">
        <v>1335</v>
      </c>
      <c r="D670" s="10" t="s">
        <v>1336</v>
      </c>
      <c r="E670" s="23" t="str">
        <f>IFERROR(__xludf.DUMMYFUNCTION("REGEXEXTRACT(TO_TEXT(A670), ""(\d{2}/\d{2}/\d{4})"")"),"06/01/2022")</f>
        <v>06/01/2022</v>
      </c>
      <c r="F670" s="26">
        <f t="shared" si="1"/>
        <v>44567</v>
      </c>
    </row>
    <row r="671">
      <c r="A671" s="11" t="s">
        <v>3916</v>
      </c>
      <c r="B671" s="25" t="s">
        <v>3917</v>
      </c>
      <c r="C671" s="11" t="s">
        <v>1337</v>
      </c>
      <c r="D671" s="11" t="s">
        <v>1338</v>
      </c>
      <c r="E671" s="23" t="str">
        <f>IFERROR(__xludf.DUMMYFUNCTION("REGEXEXTRACT(TO_TEXT(A671), ""(\d{2}/\d{2}/\d{4})"")"),"08/01/2022")</f>
        <v>08/01/2022</v>
      </c>
      <c r="F671" s="26">
        <f t="shared" si="1"/>
        <v>44569</v>
      </c>
    </row>
    <row r="672">
      <c r="A672" s="10" t="s">
        <v>3918</v>
      </c>
      <c r="B672" s="25" t="s">
        <v>3919</v>
      </c>
      <c r="C672" s="10" t="s">
        <v>1339</v>
      </c>
      <c r="D672" s="10" t="s">
        <v>1340</v>
      </c>
      <c r="E672" s="23" t="str">
        <f>IFERROR(__xludf.DUMMYFUNCTION("REGEXEXTRACT(TO_TEXT(A672), ""(\d{2}/\d{2}/\d{4})"")"),"11/01/2022")</f>
        <v>11/01/2022</v>
      </c>
      <c r="F672" s="26">
        <f t="shared" si="1"/>
        <v>44572</v>
      </c>
    </row>
    <row r="673">
      <c r="A673" s="11" t="s">
        <v>3920</v>
      </c>
      <c r="B673" s="25" t="s">
        <v>3921</v>
      </c>
      <c r="C673" s="11" t="s">
        <v>1341</v>
      </c>
      <c r="D673" s="11" t="s">
        <v>1342</v>
      </c>
      <c r="E673" s="23" t="str">
        <f>IFERROR(__xludf.DUMMYFUNCTION("REGEXEXTRACT(TO_TEXT(A673), ""(\d{2}/\d{2}/\d{4})"")"),"13/01/2022")</f>
        <v>13/01/2022</v>
      </c>
      <c r="F673" s="26">
        <f t="shared" si="1"/>
        <v>44574</v>
      </c>
    </row>
    <row r="674">
      <c r="A674" s="10" t="s">
        <v>3922</v>
      </c>
      <c r="B674" s="25" t="s">
        <v>3923</v>
      </c>
      <c r="C674" s="10" t="s">
        <v>1343</v>
      </c>
      <c r="D674" s="10" t="s">
        <v>1344</v>
      </c>
      <c r="E674" s="23" t="str">
        <f>IFERROR(__xludf.DUMMYFUNCTION("REGEXEXTRACT(TO_TEXT(A674), ""(\d{2}/\d{2}/\d{4})"")"),"15/01/2022")</f>
        <v>15/01/2022</v>
      </c>
      <c r="F674" s="26">
        <f t="shared" si="1"/>
        <v>44576</v>
      </c>
    </row>
    <row r="675">
      <c r="A675" s="11" t="s">
        <v>3924</v>
      </c>
      <c r="B675" s="25" t="s">
        <v>3925</v>
      </c>
      <c r="C675" s="11" t="s">
        <v>1345</v>
      </c>
      <c r="D675" s="11" t="s">
        <v>1346</v>
      </c>
      <c r="E675" s="23" t="str">
        <f>IFERROR(__xludf.DUMMYFUNCTION("REGEXEXTRACT(TO_TEXT(A675), ""(\d{2}/\d{2}/\d{4})"")"),"18/01/2022")</f>
        <v>18/01/2022</v>
      </c>
      <c r="F675" s="26">
        <f t="shared" si="1"/>
        <v>44579</v>
      </c>
    </row>
    <row r="676">
      <c r="A676" s="10" t="s">
        <v>3926</v>
      </c>
      <c r="B676" s="25" t="s">
        <v>3927</v>
      </c>
      <c r="C676" s="10" t="s">
        <v>1347</v>
      </c>
      <c r="D676" s="10" t="s">
        <v>1348</v>
      </c>
      <c r="E676" s="23" t="str">
        <f>IFERROR(__xludf.DUMMYFUNCTION("REGEXEXTRACT(TO_TEXT(A676), ""(\d{2}/\d{2}/\d{4})"")"),"20/01/2022")</f>
        <v>20/01/2022</v>
      </c>
      <c r="F676" s="26">
        <f t="shared" si="1"/>
        <v>44581</v>
      </c>
    </row>
    <row r="677">
      <c r="A677" s="11" t="s">
        <v>3928</v>
      </c>
      <c r="B677" s="25" t="s">
        <v>3929</v>
      </c>
      <c r="C677" s="11" t="s">
        <v>1349</v>
      </c>
      <c r="D677" s="11" t="s">
        <v>1350</v>
      </c>
      <c r="E677" s="23" t="str">
        <f>IFERROR(__xludf.DUMMYFUNCTION("REGEXEXTRACT(TO_TEXT(A677), ""(\d{2}/\d{2}/\d{4})"")"),"22/01/2022")</f>
        <v>22/01/2022</v>
      </c>
      <c r="F677" s="26">
        <f t="shared" si="1"/>
        <v>44583</v>
      </c>
    </row>
    <row r="678">
      <c r="A678" s="10" t="s">
        <v>3930</v>
      </c>
      <c r="B678" s="25" t="s">
        <v>3931</v>
      </c>
      <c r="C678" s="10" t="s">
        <v>1351</v>
      </c>
      <c r="D678" s="10" t="s">
        <v>1352</v>
      </c>
      <c r="E678" s="23" t="str">
        <f>IFERROR(__xludf.DUMMYFUNCTION("REGEXEXTRACT(TO_TEXT(A678), ""(\d{2}/\d{2}/\d{4})"")"),"25/01/2022")</f>
        <v>25/01/2022</v>
      </c>
      <c r="F678" s="26">
        <f t="shared" si="1"/>
        <v>44586</v>
      </c>
    </row>
    <row r="679">
      <c r="A679" s="11" t="s">
        <v>3932</v>
      </c>
      <c r="B679" s="25" t="s">
        <v>3933</v>
      </c>
      <c r="C679" s="11" t="s">
        <v>1353</v>
      </c>
      <c r="D679" s="11" t="s">
        <v>1354</v>
      </c>
      <c r="E679" s="23" t="str">
        <f>IFERROR(__xludf.DUMMYFUNCTION("REGEXEXTRACT(TO_TEXT(A679), ""(\d{2}/\d{2}/\d{4})"")"),"27/01/2022")</f>
        <v>27/01/2022</v>
      </c>
      <c r="F679" s="26">
        <f t="shared" si="1"/>
        <v>44588</v>
      </c>
    </row>
    <row r="680">
      <c r="A680" s="10" t="s">
        <v>3934</v>
      </c>
      <c r="B680" s="25" t="s">
        <v>3935</v>
      </c>
      <c r="C680" s="10" t="s">
        <v>1355</v>
      </c>
      <c r="D680" s="12" t="s">
        <v>1356</v>
      </c>
      <c r="E680" s="23" t="str">
        <f>IFERROR(__xludf.DUMMYFUNCTION("REGEXEXTRACT(TO_TEXT(A680), ""(\d{2}/\d{2}/\d{4})"")"),"29/01/2022")</f>
        <v>29/01/2022</v>
      </c>
      <c r="F680" s="26">
        <f t="shared" si="1"/>
        <v>44590</v>
      </c>
    </row>
    <row r="681">
      <c r="A681" s="11" t="s">
        <v>3936</v>
      </c>
      <c r="B681" s="25" t="s">
        <v>3937</v>
      </c>
      <c r="C681" s="11" t="s">
        <v>1357</v>
      </c>
      <c r="D681" s="11" t="s">
        <v>1358</v>
      </c>
      <c r="E681" s="23" t="str">
        <f>IFERROR(__xludf.DUMMYFUNCTION("REGEXEXTRACT(TO_TEXT(A681), ""(\d{2}/\d{2}/\d{4})"")"),"03/02/2022")</f>
        <v>03/02/2022</v>
      </c>
      <c r="F681" s="26">
        <f t="shared" si="1"/>
        <v>44595</v>
      </c>
    </row>
    <row r="682">
      <c r="A682" s="10" t="s">
        <v>3938</v>
      </c>
      <c r="B682" s="25" t="s">
        <v>3939</v>
      </c>
      <c r="C682" s="10" t="s">
        <v>1359</v>
      </c>
      <c r="D682" s="10" t="s">
        <v>1360</v>
      </c>
      <c r="E682" s="23" t="str">
        <f>IFERROR(__xludf.DUMMYFUNCTION("REGEXEXTRACT(TO_TEXT(A682), ""(\d{2}/\d{2}/\d{4})"")"),"05/02/2022")</f>
        <v>05/02/2022</v>
      </c>
      <c r="F682" s="26">
        <f t="shared" si="1"/>
        <v>44597</v>
      </c>
    </row>
    <row r="683">
      <c r="A683" s="11" t="s">
        <v>3940</v>
      </c>
      <c r="B683" s="25" t="s">
        <v>3941</v>
      </c>
      <c r="C683" s="11" t="s">
        <v>1361</v>
      </c>
      <c r="D683" s="13" t="s">
        <v>1362</v>
      </c>
      <c r="E683" s="23" t="str">
        <f>IFERROR(__xludf.DUMMYFUNCTION("REGEXEXTRACT(TO_TEXT(A683), ""(\d{2}/\d{2}/\d{4})"")"),"08/02/2022")</f>
        <v>08/02/2022</v>
      </c>
      <c r="F683" s="26">
        <f t="shared" si="1"/>
        <v>44600</v>
      </c>
    </row>
    <row r="684">
      <c r="A684" s="10" t="s">
        <v>3942</v>
      </c>
      <c r="B684" s="25" t="s">
        <v>3943</v>
      </c>
      <c r="C684" s="10" t="s">
        <v>1363</v>
      </c>
      <c r="D684" s="10" t="s">
        <v>1364</v>
      </c>
      <c r="E684" s="23" t="str">
        <f>IFERROR(__xludf.DUMMYFUNCTION("REGEXEXTRACT(TO_TEXT(A684), ""(\d{2}/\d{2}/\d{4})"")"),"10/02/2022")</f>
        <v>10/02/2022</v>
      </c>
      <c r="F684" s="26">
        <f t="shared" si="1"/>
        <v>44602</v>
      </c>
    </row>
    <row r="685">
      <c r="A685" s="11" t="s">
        <v>3944</v>
      </c>
      <c r="B685" s="25" t="s">
        <v>3945</v>
      </c>
      <c r="C685" s="11" t="s">
        <v>1365</v>
      </c>
      <c r="D685" s="11" t="s">
        <v>1366</v>
      </c>
      <c r="E685" s="23" t="str">
        <f>IFERROR(__xludf.DUMMYFUNCTION("REGEXEXTRACT(TO_TEXT(A685), ""(\d{2}/\d{2}/\d{4})"")"),"12/02/2022")</f>
        <v>12/02/2022</v>
      </c>
      <c r="F685" s="26">
        <f t="shared" si="1"/>
        <v>44604</v>
      </c>
    </row>
    <row r="686">
      <c r="A686" s="10" t="s">
        <v>3946</v>
      </c>
      <c r="B686" s="25" t="s">
        <v>3947</v>
      </c>
      <c r="C686" s="10" t="s">
        <v>1367</v>
      </c>
      <c r="D686" s="12" t="s">
        <v>1368</v>
      </c>
      <c r="E686" s="23" t="str">
        <f>IFERROR(__xludf.DUMMYFUNCTION("REGEXEXTRACT(TO_TEXT(A686), ""(\d{2}/\d{2}/\d{4})"")"),"15/02/2022")</f>
        <v>15/02/2022</v>
      </c>
      <c r="F686" s="26">
        <f t="shared" si="1"/>
        <v>44607</v>
      </c>
    </row>
    <row r="687">
      <c r="A687" s="11" t="s">
        <v>3948</v>
      </c>
      <c r="B687" s="25" t="s">
        <v>3949</v>
      </c>
      <c r="C687" s="11" t="s">
        <v>1369</v>
      </c>
      <c r="D687" s="11" t="s">
        <v>1370</v>
      </c>
      <c r="E687" s="23" t="str">
        <f>IFERROR(__xludf.DUMMYFUNCTION("REGEXEXTRACT(TO_TEXT(A687), ""(\d{2}/\d{2}/\d{4})"")"),"17/02/2022")</f>
        <v>17/02/2022</v>
      </c>
      <c r="F687" s="26">
        <f t="shared" si="1"/>
        <v>44609</v>
      </c>
    </row>
    <row r="688">
      <c r="A688" s="10" t="s">
        <v>3950</v>
      </c>
      <c r="B688" s="25" t="s">
        <v>3951</v>
      </c>
      <c r="C688" s="10" t="s">
        <v>1371</v>
      </c>
      <c r="D688" s="10" t="s">
        <v>1372</v>
      </c>
      <c r="E688" s="23" t="str">
        <f>IFERROR(__xludf.DUMMYFUNCTION("REGEXEXTRACT(TO_TEXT(A688), ""(\d{2}/\d{2}/\d{4})"")"),"19/02/2022")</f>
        <v>19/02/2022</v>
      </c>
      <c r="F688" s="26">
        <f t="shared" si="1"/>
        <v>44611</v>
      </c>
    </row>
    <row r="689">
      <c r="A689" s="11" t="s">
        <v>3952</v>
      </c>
      <c r="B689" s="25" t="s">
        <v>3953</v>
      </c>
      <c r="C689" s="11" t="s">
        <v>1373</v>
      </c>
      <c r="D689" s="13" t="s">
        <v>1374</v>
      </c>
      <c r="E689" s="23" t="str">
        <f>IFERROR(__xludf.DUMMYFUNCTION("REGEXEXTRACT(TO_TEXT(A689), ""(\d{2}/\d{2}/\d{4})"")"),"22/02/2022")</f>
        <v>22/02/2022</v>
      </c>
      <c r="F689" s="26">
        <f t="shared" si="1"/>
        <v>44614</v>
      </c>
    </row>
    <row r="690">
      <c r="A690" s="10" t="s">
        <v>3954</v>
      </c>
      <c r="B690" s="25" t="s">
        <v>3955</v>
      </c>
      <c r="C690" s="12" t="s">
        <v>1375</v>
      </c>
      <c r="D690" s="12" t="s">
        <v>1376</v>
      </c>
      <c r="E690" s="23" t="str">
        <f>IFERROR(__xludf.DUMMYFUNCTION("REGEXEXTRACT(TO_TEXT(A690), ""(\d{2}/\d{2}/\d{4})"")"),"24/02/2022")</f>
        <v>24/02/2022</v>
      </c>
      <c r="F690" s="26">
        <f t="shared" si="1"/>
        <v>44616</v>
      </c>
    </row>
    <row r="691">
      <c r="A691" s="11" t="s">
        <v>3956</v>
      </c>
      <c r="B691" s="25" t="s">
        <v>3957</v>
      </c>
      <c r="C691" s="11" t="s">
        <v>1377</v>
      </c>
      <c r="D691" s="11" t="s">
        <v>1378</v>
      </c>
      <c r="E691" s="23" t="str">
        <f>IFERROR(__xludf.DUMMYFUNCTION("REGEXEXTRACT(TO_TEXT(A691), ""(\d{2}/\d{2}/\d{4})"")"),"26/02/2022")</f>
        <v>26/02/2022</v>
      </c>
      <c r="F691" s="26">
        <f t="shared" si="1"/>
        <v>44618</v>
      </c>
    </row>
    <row r="692">
      <c r="A692" s="10" t="s">
        <v>3958</v>
      </c>
      <c r="B692" s="25" t="s">
        <v>3959</v>
      </c>
      <c r="C692" s="10" t="s">
        <v>1379</v>
      </c>
      <c r="D692" s="10" t="s">
        <v>1380</v>
      </c>
      <c r="E692" s="23" t="str">
        <f>IFERROR(__xludf.DUMMYFUNCTION("REGEXEXTRACT(TO_TEXT(A692), ""(\d{2}/\d{2}/\d{4})"")"),"01/03/2022")</f>
        <v>01/03/2022</v>
      </c>
      <c r="F692" s="26">
        <f t="shared" si="1"/>
        <v>44621</v>
      </c>
    </row>
    <row r="693">
      <c r="A693" s="11" t="s">
        <v>3960</v>
      </c>
      <c r="B693" s="25" t="s">
        <v>3961</v>
      </c>
      <c r="C693" s="11" t="s">
        <v>1381</v>
      </c>
      <c r="D693" s="11" t="s">
        <v>1382</v>
      </c>
      <c r="E693" s="23" t="str">
        <f>IFERROR(__xludf.DUMMYFUNCTION("REGEXEXTRACT(TO_TEXT(A693), ""(\d{2}/\d{2}/\d{4})"")"),"03/03/2022")</f>
        <v>03/03/2022</v>
      </c>
      <c r="F693" s="26">
        <f t="shared" si="1"/>
        <v>44623</v>
      </c>
    </row>
    <row r="694">
      <c r="A694" s="10" t="s">
        <v>3962</v>
      </c>
      <c r="B694" s="25" t="s">
        <v>3963</v>
      </c>
      <c r="C694" s="10" t="s">
        <v>1383</v>
      </c>
      <c r="D694" s="10" t="s">
        <v>1384</v>
      </c>
      <c r="E694" s="23" t="str">
        <f>IFERROR(__xludf.DUMMYFUNCTION("REGEXEXTRACT(TO_TEXT(A694), ""(\d{2}/\d{2}/\d{4})"")"),"05/03/2022")</f>
        <v>05/03/2022</v>
      </c>
      <c r="F694" s="26">
        <f t="shared" si="1"/>
        <v>44625</v>
      </c>
    </row>
    <row r="695">
      <c r="A695" s="11" t="s">
        <v>3964</v>
      </c>
      <c r="B695" s="25" t="s">
        <v>3965</v>
      </c>
      <c r="C695" s="11" t="s">
        <v>1385</v>
      </c>
      <c r="D695" s="11" t="s">
        <v>1386</v>
      </c>
      <c r="E695" s="23" t="str">
        <f>IFERROR(__xludf.DUMMYFUNCTION("REGEXEXTRACT(TO_TEXT(A695), ""(\d{2}/\d{2}/\d{4})"")"),"08/03/2022")</f>
        <v>08/03/2022</v>
      </c>
      <c r="F695" s="26">
        <f t="shared" si="1"/>
        <v>44628</v>
      </c>
    </row>
    <row r="696">
      <c r="A696" s="10" t="s">
        <v>3966</v>
      </c>
      <c r="B696" s="25" t="s">
        <v>3967</v>
      </c>
      <c r="C696" s="10" t="s">
        <v>1387</v>
      </c>
      <c r="D696" s="10" t="s">
        <v>1388</v>
      </c>
      <c r="E696" s="23" t="str">
        <f>IFERROR(__xludf.DUMMYFUNCTION("REGEXEXTRACT(TO_TEXT(A696), ""(\d{2}/\d{2}/\d{4})"")"),"10/03/2022")</f>
        <v>10/03/2022</v>
      </c>
      <c r="F696" s="26">
        <f t="shared" si="1"/>
        <v>44630</v>
      </c>
    </row>
    <row r="697">
      <c r="A697" s="11" t="s">
        <v>3968</v>
      </c>
      <c r="B697" s="25" t="s">
        <v>3969</v>
      </c>
      <c r="C697" s="11" t="s">
        <v>1389</v>
      </c>
      <c r="D697" s="11" t="s">
        <v>1390</v>
      </c>
      <c r="E697" s="23" t="str">
        <f>IFERROR(__xludf.DUMMYFUNCTION("REGEXEXTRACT(TO_TEXT(A697), ""(\d{2}/\d{2}/\d{4})"")"),"12/03/2022")</f>
        <v>12/03/2022</v>
      </c>
      <c r="F697" s="26">
        <f t="shared" si="1"/>
        <v>44632</v>
      </c>
    </row>
    <row r="698">
      <c r="A698" s="10" t="s">
        <v>3970</v>
      </c>
      <c r="B698" s="25" t="s">
        <v>3971</v>
      </c>
      <c r="C698" s="10" t="s">
        <v>1391</v>
      </c>
      <c r="D698" s="12" t="s">
        <v>1392</v>
      </c>
      <c r="E698" s="23" t="str">
        <f>IFERROR(__xludf.DUMMYFUNCTION("REGEXEXTRACT(TO_TEXT(A698), ""(\d{2}/\d{2}/\d{4})"")"),"15/03/2022")</f>
        <v>15/03/2022</v>
      </c>
      <c r="F698" s="26">
        <f t="shared" si="1"/>
        <v>44635</v>
      </c>
    </row>
    <row r="699">
      <c r="A699" s="11" t="s">
        <v>3972</v>
      </c>
      <c r="B699" s="25" t="s">
        <v>3973</v>
      </c>
      <c r="C699" s="11" t="s">
        <v>1393</v>
      </c>
      <c r="D699" s="11" t="s">
        <v>1394</v>
      </c>
      <c r="E699" s="23" t="str">
        <f>IFERROR(__xludf.DUMMYFUNCTION("REGEXEXTRACT(TO_TEXT(A699), ""(\d{2}/\d{2}/\d{4})"")"),"17/03/2022")</f>
        <v>17/03/2022</v>
      </c>
      <c r="F699" s="26">
        <f t="shared" si="1"/>
        <v>44637</v>
      </c>
    </row>
    <row r="700">
      <c r="A700" s="10" t="s">
        <v>3974</v>
      </c>
      <c r="B700" s="25" t="s">
        <v>3975</v>
      </c>
      <c r="C700" s="10" t="s">
        <v>1395</v>
      </c>
      <c r="D700" s="10" t="s">
        <v>1396</v>
      </c>
      <c r="E700" s="23" t="str">
        <f>IFERROR(__xludf.DUMMYFUNCTION("REGEXEXTRACT(TO_TEXT(A700), ""(\d{2}/\d{2}/\d{4})"")"),"19/03/2022")</f>
        <v>19/03/2022</v>
      </c>
      <c r="F700" s="26">
        <f t="shared" si="1"/>
        <v>44639</v>
      </c>
    </row>
    <row r="701">
      <c r="A701" s="11" t="s">
        <v>3976</v>
      </c>
      <c r="B701" s="25" t="s">
        <v>3977</v>
      </c>
      <c r="C701" s="11" t="s">
        <v>1397</v>
      </c>
      <c r="D701" s="13" t="s">
        <v>1398</v>
      </c>
      <c r="E701" s="23" t="str">
        <f>IFERROR(__xludf.DUMMYFUNCTION("REGEXEXTRACT(TO_TEXT(A701), ""(\d{2}/\d{2}/\d{4})"")"),"22/03/2022")</f>
        <v>22/03/2022</v>
      </c>
      <c r="F701" s="26">
        <f t="shared" si="1"/>
        <v>44642</v>
      </c>
    </row>
    <row r="702">
      <c r="A702" s="10" t="s">
        <v>3978</v>
      </c>
      <c r="B702" s="25" t="s">
        <v>3979</v>
      </c>
      <c r="C702" s="10" t="s">
        <v>1399</v>
      </c>
      <c r="D702" s="10" t="s">
        <v>1400</v>
      </c>
      <c r="E702" s="23" t="str">
        <f>IFERROR(__xludf.DUMMYFUNCTION("REGEXEXTRACT(TO_TEXT(A702), ""(\d{2}/\d{2}/\d{4})"")"),"24/03/2022")</f>
        <v>24/03/2022</v>
      </c>
      <c r="F702" s="26">
        <f t="shared" si="1"/>
        <v>44644</v>
      </c>
    </row>
    <row r="703">
      <c r="A703" s="11" t="s">
        <v>3980</v>
      </c>
      <c r="B703" s="25" t="s">
        <v>3981</v>
      </c>
      <c r="C703" s="11" t="s">
        <v>1401</v>
      </c>
      <c r="D703" s="13" t="s">
        <v>1402</v>
      </c>
      <c r="E703" s="23" t="str">
        <f>IFERROR(__xludf.DUMMYFUNCTION("REGEXEXTRACT(TO_TEXT(A703), ""(\d{2}/\d{2}/\d{4})"")"),"26/03/2022")</f>
        <v>26/03/2022</v>
      </c>
      <c r="F703" s="26">
        <f t="shared" si="1"/>
        <v>44646</v>
      </c>
    </row>
    <row r="704">
      <c r="A704" s="10" t="s">
        <v>3982</v>
      </c>
      <c r="B704" s="25" t="s">
        <v>3983</v>
      </c>
      <c r="C704" s="10" t="s">
        <v>1403</v>
      </c>
      <c r="D704" s="10" t="s">
        <v>1404</v>
      </c>
      <c r="E704" s="23" t="str">
        <f>IFERROR(__xludf.DUMMYFUNCTION("REGEXEXTRACT(TO_TEXT(A704), ""(\d{2}/\d{2}/\d{4})"")"),"29/03/2022")</f>
        <v>29/03/2022</v>
      </c>
      <c r="F704" s="26">
        <f t="shared" si="1"/>
        <v>44649</v>
      </c>
    </row>
    <row r="705">
      <c r="A705" s="11" t="s">
        <v>3984</v>
      </c>
      <c r="B705" s="25" t="s">
        <v>3985</v>
      </c>
      <c r="C705" s="11" t="s">
        <v>1405</v>
      </c>
      <c r="D705" s="11" t="s">
        <v>1406</v>
      </c>
      <c r="E705" s="23" t="str">
        <f>IFERROR(__xludf.DUMMYFUNCTION("REGEXEXTRACT(TO_TEXT(A705), ""(\d{2}/\d{2}/\d{4})"")"),"31/03/2022")</f>
        <v>31/03/2022</v>
      </c>
      <c r="F705" s="26">
        <f t="shared" si="1"/>
        <v>44651</v>
      </c>
    </row>
    <row r="706">
      <c r="A706" s="10" t="s">
        <v>3986</v>
      </c>
      <c r="B706" s="25" t="s">
        <v>3987</v>
      </c>
      <c r="C706" s="10" t="s">
        <v>1407</v>
      </c>
      <c r="D706" s="10" t="s">
        <v>1408</v>
      </c>
      <c r="E706" s="23" t="str">
        <f>IFERROR(__xludf.DUMMYFUNCTION("REGEXEXTRACT(TO_TEXT(A706), ""(\d{2}/\d{2}/\d{4})"")"),"02/04/2022")</f>
        <v>02/04/2022</v>
      </c>
      <c r="F706" s="26">
        <f t="shared" si="1"/>
        <v>44653</v>
      </c>
    </row>
    <row r="707">
      <c r="A707" s="11" t="s">
        <v>3988</v>
      </c>
      <c r="B707" s="25" t="s">
        <v>3989</v>
      </c>
      <c r="C707" s="11" t="s">
        <v>1409</v>
      </c>
      <c r="D707" s="11" t="s">
        <v>1410</v>
      </c>
      <c r="E707" s="23" t="str">
        <f>IFERROR(__xludf.DUMMYFUNCTION("REGEXEXTRACT(TO_TEXT(A707), ""(\d{2}/\d{2}/\d{4})"")"),"05/04/2022")</f>
        <v>05/04/2022</v>
      </c>
      <c r="F707" s="26">
        <f t="shared" si="1"/>
        <v>44656</v>
      </c>
    </row>
    <row r="708">
      <c r="A708" s="10" t="s">
        <v>3990</v>
      </c>
      <c r="B708" s="25" t="s">
        <v>3991</v>
      </c>
      <c r="C708" s="10" t="s">
        <v>1411</v>
      </c>
      <c r="D708" s="12" t="s">
        <v>1412</v>
      </c>
      <c r="E708" s="23" t="str">
        <f>IFERROR(__xludf.DUMMYFUNCTION("REGEXEXTRACT(TO_TEXT(A708), ""(\d{2}/\d{2}/\d{4})"")"),"07/04/2022")</f>
        <v>07/04/2022</v>
      </c>
      <c r="F708" s="26">
        <f t="shared" si="1"/>
        <v>44658</v>
      </c>
    </row>
    <row r="709">
      <c r="A709" s="11" t="s">
        <v>3992</v>
      </c>
      <c r="B709" s="25" t="s">
        <v>3993</v>
      </c>
      <c r="C709" s="11" t="s">
        <v>1413</v>
      </c>
      <c r="D709" s="11" t="s">
        <v>1414</v>
      </c>
      <c r="E709" s="23" t="str">
        <f>IFERROR(__xludf.DUMMYFUNCTION("REGEXEXTRACT(TO_TEXT(A709), ""(\d{2}/\d{2}/\d{4})"")"),"09/04/2022")</f>
        <v>09/04/2022</v>
      </c>
      <c r="F709" s="26">
        <f t="shared" si="1"/>
        <v>44660</v>
      </c>
    </row>
    <row r="710">
      <c r="A710" s="10" t="s">
        <v>3994</v>
      </c>
      <c r="B710" s="25" t="s">
        <v>3995</v>
      </c>
      <c r="C710" s="10" t="s">
        <v>1415</v>
      </c>
      <c r="D710" s="10" t="s">
        <v>1416</v>
      </c>
      <c r="E710" s="23" t="str">
        <f>IFERROR(__xludf.DUMMYFUNCTION("REGEXEXTRACT(TO_TEXT(A710), ""(\d{2}/\d{2}/\d{4})"")"),"12/04/2022")</f>
        <v>12/04/2022</v>
      </c>
      <c r="F710" s="26">
        <f t="shared" si="1"/>
        <v>44663</v>
      </c>
    </row>
    <row r="711">
      <c r="A711" s="11" t="s">
        <v>3996</v>
      </c>
      <c r="B711" s="25" t="s">
        <v>3997</v>
      </c>
      <c r="C711" s="11" t="s">
        <v>1417</v>
      </c>
      <c r="D711" s="11" t="s">
        <v>1418</v>
      </c>
      <c r="E711" s="23" t="str">
        <f>IFERROR(__xludf.DUMMYFUNCTION("REGEXEXTRACT(TO_TEXT(A711), ""(\d{2}/\d{2}/\d{4})"")"),"14/04/2022")</f>
        <v>14/04/2022</v>
      </c>
      <c r="F711" s="26">
        <f t="shared" si="1"/>
        <v>44665</v>
      </c>
    </row>
    <row r="712">
      <c r="A712" s="10" t="s">
        <v>3998</v>
      </c>
      <c r="B712" s="25" t="s">
        <v>3999</v>
      </c>
      <c r="C712" s="10" t="s">
        <v>1419</v>
      </c>
      <c r="D712" s="10" t="s">
        <v>1420</v>
      </c>
      <c r="E712" s="23" t="str">
        <f>IFERROR(__xludf.DUMMYFUNCTION("REGEXEXTRACT(TO_TEXT(A712), ""(\d{2}/\d{2}/\d{4})"")"),"16/04/2022")</f>
        <v>16/04/2022</v>
      </c>
      <c r="F712" s="26">
        <f t="shared" si="1"/>
        <v>44667</v>
      </c>
    </row>
    <row r="713">
      <c r="A713" s="11" t="s">
        <v>4000</v>
      </c>
      <c r="B713" s="25" t="s">
        <v>4001</v>
      </c>
      <c r="C713" s="11" t="s">
        <v>1421</v>
      </c>
      <c r="D713" s="11" t="s">
        <v>1422</v>
      </c>
      <c r="E713" s="23" t="str">
        <f>IFERROR(__xludf.DUMMYFUNCTION("REGEXEXTRACT(TO_TEXT(A713), ""(\d{2}/\d{2}/\d{4})"")"),"19/04/2022")</f>
        <v>19/04/2022</v>
      </c>
      <c r="F713" s="26">
        <f t="shared" si="1"/>
        <v>44670</v>
      </c>
    </row>
    <row r="714">
      <c r="A714" s="10" t="s">
        <v>4002</v>
      </c>
      <c r="B714" s="25" t="s">
        <v>4003</v>
      </c>
      <c r="C714" s="10" t="s">
        <v>1423</v>
      </c>
      <c r="D714" s="10" t="s">
        <v>1424</v>
      </c>
      <c r="E714" s="23" t="str">
        <f>IFERROR(__xludf.DUMMYFUNCTION("REGEXEXTRACT(TO_TEXT(A714), ""(\d{2}/\d{2}/\d{4})"")"),"21/04/2022")</f>
        <v>21/04/2022</v>
      </c>
      <c r="F714" s="26">
        <f t="shared" si="1"/>
        <v>44672</v>
      </c>
    </row>
    <row r="715">
      <c r="A715" s="11" t="s">
        <v>4004</v>
      </c>
      <c r="B715" s="25" t="s">
        <v>4005</v>
      </c>
      <c r="C715" s="13" t="s">
        <v>1425</v>
      </c>
      <c r="D715" s="11" t="s">
        <v>1426</v>
      </c>
      <c r="E715" s="23" t="str">
        <f>IFERROR(__xludf.DUMMYFUNCTION("REGEXEXTRACT(TO_TEXT(A715), ""(\d{2}/\d{2}/\d{4})"")"),"23/04/2022")</f>
        <v>23/04/2022</v>
      </c>
      <c r="F715" s="26">
        <f t="shared" si="1"/>
        <v>44674</v>
      </c>
    </row>
    <row r="716">
      <c r="A716" s="10" t="s">
        <v>4006</v>
      </c>
      <c r="B716" s="25" t="s">
        <v>4007</v>
      </c>
      <c r="C716" s="10" t="s">
        <v>1427</v>
      </c>
      <c r="D716" s="12" t="s">
        <v>1428</v>
      </c>
      <c r="E716" s="23" t="str">
        <f>IFERROR(__xludf.DUMMYFUNCTION("REGEXEXTRACT(TO_TEXT(A716), ""(\d{2}/\d{2}/\d{4})"")"),"26/04/2022")</f>
        <v>26/04/2022</v>
      </c>
      <c r="F716" s="26">
        <f t="shared" si="1"/>
        <v>44677</v>
      </c>
    </row>
    <row r="717">
      <c r="A717" s="11" t="s">
        <v>4008</v>
      </c>
      <c r="B717" s="25" t="s">
        <v>4009</v>
      </c>
      <c r="C717" s="11" t="s">
        <v>1429</v>
      </c>
      <c r="D717" s="13" t="s">
        <v>1430</v>
      </c>
      <c r="E717" s="23" t="str">
        <f>IFERROR(__xludf.DUMMYFUNCTION("REGEXEXTRACT(TO_TEXT(A717), ""(\d{2}/\d{2}/\d{4})"")"),"28/04/2022")</f>
        <v>28/04/2022</v>
      </c>
      <c r="F717" s="26">
        <f t="shared" si="1"/>
        <v>44679</v>
      </c>
    </row>
    <row r="718">
      <c r="A718" s="10" t="s">
        <v>4010</v>
      </c>
      <c r="B718" s="25" t="s">
        <v>4011</v>
      </c>
      <c r="C718" s="10" t="s">
        <v>1431</v>
      </c>
      <c r="D718" s="10" t="s">
        <v>1432</v>
      </c>
      <c r="E718" s="23" t="str">
        <f>IFERROR(__xludf.DUMMYFUNCTION("REGEXEXTRACT(TO_TEXT(A718), ""(\d{2}/\d{2}/\d{4})"")"),"30/04/2022")</f>
        <v>30/04/2022</v>
      </c>
      <c r="F718" s="26">
        <f t="shared" si="1"/>
        <v>44681</v>
      </c>
    </row>
    <row r="719">
      <c r="A719" s="11" t="s">
        <v>4012</v>
      </c>
      <c r="B719" s="25" t="s">
        <v>4013</v>
      </c>
      <c r="C719" s="11" t="s">
        <v>1433</v>
      </c>
      <c r="D719" s="11" t="s">
        <v>1434</v>
      </c>
      <c r="E719" s="23" t="str">
        <f>IFERROR(__xludf.DUMMYFUNCTION("REGEXEXTRACT(TO_TEXT(A719), ""(\d{2}/\d{2}/\d{4})"")"),"03/05/2022")</f>
        <v>03/05/2022</v>
      </c>
      <c r="F719" s="26">
        <f t="shared" si="1"/>
        <v>44684</v>
      </c>
    </row>
    <row r="720">
      <c r="A720" s="10" t="s">
        <v>4014</v>
      </c>
      <c r="B720" s="25" t="s">
        <v>4015</v>
      </c>
      <c r="C720" s="10" t="s">
        <v>1435</v>
      </c>
      <c r="D720" s="10" t="s">
        <v>1436</v>
      </c>
      <c r="E720" s="23" t="str">
        <f>IFERROR(__xludf.DUMMYFUNCTION("REGEXEXTRACT(TO_TEXT(A720), ""(\d{2}/\d{2}/\d{4})"")"),"05/05/2022")</f>
        <v>05/05/2022</v>
      </c>
      <c r="F720" s="26">
        <f t="shared" si="1"/>
        <v>44686</v>
      </c>
    </row>
    <row r="721">
      <c r="A721" s="11" t="s">
        <v>4016</v>
      </c>
      <c r="B721" s="25" t="s">
        <v>4017</v>
      </c>
      <c r="C721" s="11" t="s">
        <v>1437</v>
      </c>
      <c r="D721" s="11" t="s">
        <v>1438</v>
      </c>
      <c r="E721" s="23" t="str">
        <f>IFERROR(__xludf.DUMMYFUNCTION("REGEXEXTRACT(TO_TEXT(A721), ""(\d{2}/\d{2}/\d{4})"")"),"07/05/2022")</f>
        <v>07/05/2022</v>
      </c>
      <c r="F721" s="26">
        <f t="shared" si="1"/>
        <v>44688</v>
      </c>
    </row>
    <row r="722">
      <c r="A722" s="10" t="s">
        <v>4018</v>
      </c>
      <c r="B722" s="25" t="s">
        <v>4019</v>
      </c>
      <c r="C722" s="10" t="s">
        <v>1439</v>
      </c>
      <c r="D722" s="10" t="s">
        <v>1440</v>
      </c>
      <c r="E722" s="23" t="str">
        <f>IFERROR(__xludf.DUMMYFUNCTION("REGEXEXTRACT(TO_TEXT(A722), ""(\d{2}/\d{2}/\d{4})"")"),"10/05/2022")</f>
        <v>10/05/2022</v>
      </c>
      <c r="F722" s="26">
        <f t="shared" si="1"/>
        <v>44691</v>
      </c>
    </row>
    <row r="723">
      <c r="A723" s="11" t="s">
        <v>4020</v>
      </c>
      <c r="B723" s="25" t="s">
        <v>4021</v>
      </c>
      <c r="C723" s="11" t="s">
        <v>1441</v>
      </c>
      <c r="D723" s="11" t="s">
        <v>1442</v>
      </c>
      <c r="E723" s="23" t="str">
        <f>IFERROR(__xludf.DUMMYFUNCTION("REGEXEXTRACT(TO_TEXT(A723), ""(\d{2}/\d{2}/\d{4})"")"),"12/05/2022")</f>
        <v>12/05/2022</v>
      </c>
      <c r="F723" s="26">
        <f t="shared" si="1"/>
        <v>44693</v>
      </c>
    </row>
    <row r="724">
      <c r="A724" s="10" t="s">
        <v>4022</v>
      </c>
      <c r="B724" s="25" t="s">
        <v>4023</v>
      </c>
      <c r="C724" s="10" t="s">
        <v>1443</v>
      </c>
      <c r="D724" s="12" t="s">
        <v>1444</v>
      </c>
      <c r="E724" s="23" t="str">
        <f>IFERROR(__xludf.DUMMYFUNCTION("REGEXEXTRACT(TO_TEXT(A724), ""(\d{2}/\d{2}/\d{4})"")"),"14/05/2022")</f>
        <v>14/05/2022</v>
      </c>
      <c r="F724" s="26">
        <f t="shared" si="1"/>
        <v>44695</v>
      </c>
    </row>
    <row r="725">
      <c r="A725" s="11" t="s">
        <v>4024</v>
      </c>
      <c r="B725" s="25" t="s">
        <v>4025</v>
      </c>
      <c r="C725" s="11" t="s">
        <v>1445</v>
      </c>
      <c r="D725" s="11" t="s">
        <v>1446</v>
      </c>
      <c r="E725" s="23" t="str">
        <f>IFERROR(__xludf.DUMMYFUNCTION("REGEXEXTRACT(TO_TEXT(A725), ""(\d{2}/\d{2}/\d{4})"")"),"17/05/2022")</f>
        <v>17/05/2022</v>
      </c>
      <c r="F725" s="26">
        <f t="shared" si="1"/>
        <v>44698</v>
      </c>
    </row>
    <row r="726">
      <c r="A726" s="10" t="s">
        <v>4026</v>
      </c>
      <c r="B726" s="25" t="s">
        <v>4027</v>
      </c>
      <c r="C726" s="10" t="s">
        <v>1447</v>
      </c>
      <c r="D726" s="10" t="s">
        <v>1448</v>
      </c>
      <c r="E726" s="23" t="str">
        <f>IFERROR(__xludf.DUMMYFUNCTION("REGEXEXTRACT(TO_TEXT(A726), ""(\d{2}/\d{2}/\d{4})"")"),"19/05/2022")</f>
        <v>19/05/2022</v>
      </c>
      <c r="F726" s="26">
        <f t="shared" si="1"/>
        <v>44700</v>
      </c>
    </row>
    <row r="727">
      <c r="A727" s="11" t="s">
        <v>4028</v>
      </c>
      <c r="B727" s="25" t="s">
        <v>4029</v>
      </c>
      <c r="C727" s="11" t="s">
        <v>1449</v>
      </c>
      <c r="D727" s="11" t="s">
        <v>1450</v>
      </c>
      <c r="E727" s="23" t="str">
        <f>IFERROR(__xludf.DUMMYFUNCTION("REGEXEXTRACT(TO_TEXT(A727), ""(\d{2}/\d{2}/\d{4})"")"),"21/05/2022")</f>
        <v>21/05/2022</v>
      </c>
      <c r="F727" s="26">
        <f t="shared" si="1"/>
        <v>44702</v>
      </c>
    </row>
    <row r="728">
      <c r="A728" s="10" t="s">
        <v>4030</v>
      </c>
      <c r="B728" s="25" t="s">
        <v>4031</v>
      </c>
      <c r="C728" s="10" t="s">
        <v>1451</v>
      </c>
      <c r="D728" s="10" t="s">
        <v>1452</v>
      </c>
      <c r="E728" s="23" t="str">
        <f>IFERROR(__xludf.DUMMYFUNCTION("REGEXEXTRACT(TO_TEXT(A728), ""(\d{2}/\d{2}/\d{4})"")"),"24/05/2022")</f>
        <v>24/05/2022</v>
      </c>
      <c r="F728" s="26">
        <f t="shared" si="1"/>
        <v>44705</v>
      </c>
    </row>
    <row r="729">
      <c r="A729" s="11" t="s">
        <v>4032</v>
      </c>
      <c r="B729" s="25" t="s">
        <v>4033</v>
      </c>
      <c r="C729" s="11" t="s">
        <v>1453</v>
      </c>
      <c r="D729" s="11" t="s">
        <v>1454</v>
      </c>
      <c r="E729" s="23" t="str">
        <f>IFERROR(__xludf.DUMMYFUNCTION("REGEXEXTRACT(TO_TEXT(A729), ""(\d{2}/\d{2}/\d{4})"")"),"26/05/2022")</f>
        <v>26/05/2022</v>
      </c>
      <c r="F729" s="26">
        <f t="shared" si="1"/>
        <v>44707</v>
      </c>
    </row>
    <row r="730">
      <c r="A730" s="10" t="s">
        <v>4034</v>
      </c>
      <c r="B730" s="25" t="s">
        <v>4035</v>
      </c>
      <c r="C730" s="10" t="s">
        <v>1455</v>
      </c>
      <c r="D730" s="10" t="s">
        <v>1456</v>
      </c>
      <c r="E730" s="23" t="str">
        <f>IFERROR(__xludf.DUMMYFUNCTION("REGEXEXTRACT(TO_TEXT(A730), ""(\d{2}/\d{2}/\d{4})"")"),"28/05/2022")</f>
        <v>28/05/2022</v>
      </c>
      <c r="F730" s="26">
        <f t="shared" si="1"/>
        <v>44709</v>
      </c>
    </row>
    <row r="731">
      <c r="A731" s="11" t="s">
        <v>4036</v>
      </c>
      <c r="B731" s="25" t="s">
        <v>4037</v>
      </c>
      <c r="C731" s="11" t="s">
        <v>1457</v>
      </c>
      <c r="D731" s="13" t="s">
        <v>1458</v>
      </c>
      <c r="E731" s="23" t="str">
        <f>IFERROR(__xludf.DUMMYFUNCTION("REGEXEXTRACT(TO_TEXT(A731), ""(\d{2}/\d{2}/\d{4})"")"),"31/05/2022")</f>
        <v>31/05/2022</v>
      </c>
      <c r="F731" s="26">
        <f t="shared" si="1"/>
        <v>44712</v>
      </c>
    </row>
    <row r="732">
      <c r="A732" s="10" t="s">
        <v>4038</v>
      </c>
      <c r="B732" s="25" t="s">
        <v>4039</v>
      </c>
      <c r="C732" s="10" t="s">
        <v>1459</v>
      </c>
      <c r="D732" s="10" t="s">
        <v>1460</v>
      </c>
      <c r="E732" s="23" t="str">
        <f>IFERROR(__xludf.DUMMYFUNCTION("REGEXEXTRACT(TO_TEXT(A732), ""(\d{2}/\d{2}/\d{4})"")"),"02/06/2022")</f>
        <v>02/06/2022</v>
      </c>
      <c r="F732" s="26">
        <f t="shared" si="1"/>
        <v>44714</v>
      </c>
    </row>
    <row r="733">
      <c r="A733" s="11" t="s">
        <v>4040</v>
      </c>
      <c r="B733" s="25" t="s">
        <v>4041</v>
      </c>
      <c r="C733" s="11" t="s">
        <v>1461</v>
      </c>
      <c r="D733" s="11" t="s">
        <v>1462</v>
      </c>
      <c r="E733" s="23" t="str">
        <f>IFERROR(__xludf.DUMMYFUNCTION("REGEXEXTRACT(TO_TEXT(A733), ""(\d{2}/\d{2}/\d{4})"")"),"04/06/2022")</f>
        <v>04/06/2022</v>
      </c>
      <c r="F733" s="26">
        <f t="shared" si="1"/>
        <v>44716</v>
      </c>
    </row>
    <row r="734">
      <c r="A734" s="10" t="s">
        <v>4042</v>
      </c>
      <c r="B734" s="25" t="s">
        <v>4043</v>
      </c>
      <c r="C734" s="10" t="s">
        <v>1463</v>
      </c>
      <c r="D734" s="10" t="s">
        <v>1464</v>
      </c>
      <c r="E734" s="23" t="str">
        <f>IFERROR(__xludf.DUMMYFUNCTION("REGEXEXTRACT(TO_TEXT(A734), ""(\d{2}/\d{2}/\d{4})"")"),"07/06/2022")</f>
        <v>07/06/2022</v>
      </c>
      <c r="F734" s="26">
        <f t="shared" si="1"/>
        <v>44719</v>
      </c>
    </row>
    <row r="735">
      <c r="A735" s="11" t="s">
        <v>4044</v>
      </c>
      <c r="B735" s="25" t="s">
        <v>4045</v>
      </c>
      <c r="C735" s="11" t="s">
        <v>1465</v>
      </c>
      <c r="D735" s="11" t="s">
        <v>1466</v>
      </c>
      <c r="E735" s="23" t="str">
        <f>IFERROR(__xludf.DUMMYFUNCTION("REGEXEXTRACT(TO_TEXT(A735), ""(\d{2}/\d{2}/\d{4})"")"),"09/06/2022")</f>
        <v>09/06/2022</v>
      </c>
      <c r="F735" s="26">
        <f t="shared" si="1"/>
        <v>44721</v>
      </c>
    </row>
    <row r="736">
      <c r="A736" s="10" t="s">
        <v>4046</v>
      </c>
      <c r="B736" s="25" t="s">
        <v>4047</v>
      </c>
      <c r="C736" s="10" t="s">
        <v>1467</v>
      </c>
      <c r="D736" s="10" t="s">
        <v>1468</v>
      </c>
      <c r="E736" s="23" t="str">
        <f>IFERROR(__xludf.DUMMYFUNCTION("REGEXEXTRACT(TO_TEXT(A736), ""(\d{2}/\d{2}/\d{4})"")"),"11/06/2022")</f>
        <v>11/06/2022</v>
      </c>
      <c r="F736" s="26">
        <f t="shared" si="1"/>
        <v>44723</v>
      </c>
    </row>
    <row r="737">
      <c r="A737" s="11" t="s">
        <v>4048</v>
      </c>
      <c r="B737" s="25" t="s">
        <v>4049</v>
      </c>
      <c r="C737" s="11" t="s">
        <v>1469</v>
      </c>
      <c r="D737" s="11" t="s">
        <v>1470</v>
      </c>
      <c r="E737" s="23" t="str">
        <f>IFERROR(__xludf.DUMMYFUNCTION("REGEXEXTRACT(TO_TEXT(A737), ""(\d{2}/\d{2}/\d{4})"")"),"14/06/2022")</f>
        <v>14/06/2022</v>
      </c>
      <c r="F737" s="26">
        <f t="shared" si="1"/>
        <v>44726</v>
      </c>
    </row>
    <row r="738">
      <c r="A738" s="10" t="s">
        <v>4050</v>
      </c>
      <c r="B738" s="25" t="s">
        <v>4051</v>
      </c>
      <c r="C738" s="10" t="s">
        <v>1471</v>
      </c>
      <c r="D738" s="10" t="s">
        <v>1472</v>
      </c>
      <c r="E738" s="23" t="str">
        <f>IFERROR(__xludf.DUMMYFUNCTION("REGEXEXTRACT(TO_TEXT(A738), ""(\d{2}/\d{2}/\d{4})"")"),"16/06/2022")</f>
        <v>16/06/2022</v>
      </c>
      <c r="F738" s="26">
        <f t="shared" si="1"/>
        <v>44728</v>
      </c>
    </row>
    <row r="739">
      <c r="A739" s="11" t="s">
        <v>4052</v>
      </c>
      <c r="B739" s="25" t="s">
        <v>4053</v>
      </c>
      <c r="C739" s="11" t="s">
        <v>1473</v>
      </c>
      <c r="D739" s="13" t="s">
        <v>1474</v>
      </c>
      <c r="E739" s="23" t="str">
        <f>IFERROR(__xludf.DUMMYFUNCTION("REGEXEXTRACT(TO_TEXT(A739), ""(\d{2}/\d{2}/\d{4})"")"),"18/06/2022")</f>
        <v>18/06/2022</v>
      </c>
      <c r="F739" s="26">
        <f t="shared" si="1"/>
        <v>44730</v>
      </c>
    </row>
    <row r="740">
      <c r="A740" s="10" t="s">
        <v>4054</v>
      </c>
      <c r="B740" s="25" t="s">
        <v>4055</v>
      </c>
      <c r="C740" s="10" t="s">
        <v>1475</v>
      </c>
      <c r="D740" s="10" t="s">
        <v>1476</v>
      </c>
      <c r="E740" s="23" t="str">
        <f>IFERROR(__xludf.DUMMYFUNCTION("REGEXEXTRACT(TO_TEXT(A740), ""(\d{2}/\d{2}/\d{4})"")"),"21/06/2022")</f>
        <v>21/06/2022</v>
      </c>
      <c r="F740" s="26">
        <f t="shared" si="1"/>
        <v>44733</v>
      </c>
    </row>
    <row r="741">
      <c r="A741" s="11" t="s">
        <v>4056</v>
      </c>
      <c r="B741" s="25" t="s">
        <v>4057</v>
      </c>
      <c r="C741" s="11" t="s">
        <v>1477</v>
      </c>
      <c r="D741" s="11" t="s">
        <v>1478</v>
      </c>
      <c r="E741" s="23" t="str">
        <f>IFERROR(__xludf.DUMMYFUNCTION("REGEXEXTRACT(TO_TEXT(A741), ""(\d{2}/\d{2}/\d{4})"")"),"23/06/2022")</f>
        <v>23/06/2022</v>
      </c>
      <c r="F741" s="26">
        <f t="shared" si="1"/>
        <v>44735</v>
      </c>
    </row>
    <row r="742">
      <c r="A742" s="10" t="s">
        <v>4058</v>
      </c>
      <c r="B742" s="25" t="s">
        <v>4059</v>
      </c>
      <c r="C742" s="10" t="s">
        <v>1479</v>
      </c>
      <c r="D742" s="10" t="s">
        <v>1480</v>
      </c>
      <c r="E742" s="23" t="str">
        <f>IFERROR(__xludf.DUMMYFUNCTION("REGEXEXTRACT(TO_TEXT(A742), ""(\d{2}/\d{2}/\d{4})"")"),"25/06/2022")</f>
        <v>25/06/2022</v>
      </c>
      <c r="F742" s="26">
        <f t="shared" si="1"/>
        <v>44737</v>
      </c>
    </row>
    <row r="743">
      <c r="A743" s="11" t="s">
        <v>4060</v>
      </c>
      <c r="B743" s="25" t="s">
        <v>4061</v>
      </c>
      <c r="C743" s="11" t="s">
        <v>1481</v>
      </c>
      <c r="D743" s="11" t="s">
        <v>1482</v>
      </c>
      <c r="E743" s="23" t="str">
        <f>IFERROR(__xludf.DUMMYFUNCTION("REGEXEXTRACT(TO_TEXT(A743), ""(\d{2}/\d{2}/\d{4})"")"),"28/06/2022")</f>
        <v>28/06/2022</v>
      </c>
      <c r="F743" s="26">
        <f t="shared" si="1"/>
        <v>44740</v>
      </c>
    </row>
    <row r="744">
      <c r="A744" s="10" t="s">
        <v>4062</v>
      </c>
      <c r="B744" s="25" t="s">
        <v>4063</v>
      </c>
      <c r="C744" s="10" t="s">
        <v>1483</v>
      </c>
      <c r="D744" s="10" t="s">
        <v>1484</v>
      </c>
      <c r="E744" s="23" t="str">
        <f>IFERROR(__xludf.DUMMYFUNCTION("REGEXEXTRACT(TO_TEXT(A744), ""(\d{2}/\d{2}/\d{4})"")"),"30/06/2022")</f>
        <v>30/06/2022</v>
      </c>
      <c r="F744" s="26">
        <f t="shared" si="1"/>
        <v>44742</v>
      </c>
    </row>
    <row r="745">
      <c r="A745" s="11" t="s">
        <v>4064</v>
      </c>
      <c r="B745" s="25" t="s">
        <v>4065</v>
      </c>
      <c r="C745" s="11" t="s">
        <v>1485</v>
      </c>
      <c r="D745" s="11" t="s">
        <v>1486</v>
      </c>
      <c r="E745" s="23" t="str">
        <f>IFERROR(__xludf.DUMMYFUNCTION("REGEXEXTRACT(TO_TEXT(A745), ""(\d{2}/\d{2}/\d{4})"")"),"02/07/2022")</f>
        <v>02/07/2022</v>
      </c>
      <c r="F745" s="26">
        <f t="shared" si="1"/>
        <v>44744</v>
      </c>
    </row>
    <row r="746">
      <c r="A746" s="10" t="s">
        <v>4066</v>
      </c>
      <c r="B746" s="25" t="s">
        <v>4067</v>
      </c>
      <c r="C746" s="10" t="s">
        <v>1487</v>
      </c>
      <c r="D746" s="10" t="s">
        <v>1488</v>
      </c>
      <c r="E746" s="23" t="str">
        <f>IFERROR(__xludf.DUMMYFUNCTION("REGEXEXTRACT(TO_TEXT(A746), ""(\d{2}/\d{2}/\d{4})"")"),"05/07/2022")</f>
        <v>05/07/2022</v>
      </c>
      <c r="F746" s="26">
        <f t="shared" si="1"/>
        <v>44747</v>
      </c>
    </row>
    <row r="747">
      <c r="A747" s="11" t="s">
        <v>4068</v>
      </c>
      <c r="B747" s="25" t="s">
        <v>4069</v>
      </c>
      <c r="C747" s="11" t="s">
        <v>1489</v>
      </c>
      <c r="D747" s="11" t="s">
        <v>1490</v>
      </c>
      <c r="E747" s="23" t="str">
        <f>IFERROR(__xludf.DUMMYFUNCTION("REGEXEXTRACT(TO_TEXT(A747), ""(\d{2}/\d{2}/\d{4})"")"),"07/07/2022")</f>
        <v>07/07/2022</v>
      </c>
      <c r="F747" s="26">
        <f t="shared" si="1"/>
        <v>44749</v>
      </c>
    </row>
    <row r="748">
      <c r="A748" s="10" t="s">
        <v>4070</v>
      </c>
      <c r="B748" s="25" t="s">
        <v>4071</v>
      </c>
      <c r="C748" s="10" t="s">
        <v>1491</v>
      </c>
      <c r="D748" s="10" t="s">
        <v>1492</v>
      </c>
      <c r="E748" s="23" t="str">
        <f>IFERROR(__xludf.DUMMYFUNCTION("REGEXEXTRACT(TO_TEXT(A748), ""(\d{2}/\d{2}/\d{4})"")"),"09/07/2022")</f>
        <v>09/07/2022</v>
      </c>
      <c r="F748" s="26">
        <f t="shared" si="1"/>
        <v>44751</v>
      </c>
    </row>
    <row r="749">
      <c r="A749" s="11" t="s">
        <v>4072</v>
      </c>
      <c r="B749" s="25" t="s">
        <v>4073</v>
      </c>
      <c r="C749" s="11" t="s">
        <v>1493</v>
      </c>
      <c r="D749" s="13" t="s">
        <v>1494</v>
      </c>
      <c r="E749" s="23" t="str">
        <f>IFERROR(__xludf.DUMMYFUNCTION("REGEXEXTRACT(TO_TEXT(A749), ""(\d{2}/\d{2}/\d{4})"")"),"12/07/2022")</f>
        <v>12/07/2022</v>
      </c>
      <c r="F749" s="26">
        <f t="shared" si="1"/>
        <v>44754</v>
      </c>
    </row>
    <row r="750">
      <c r="A750" s="10" t="s">
        <v>4074</v>
      </c>
      <c r="B750" s="25" t="s">
        <v>4075</v>
      </c>
      <c r="C750" s="12" t="s">
        <v>1495</v>
      </c>
      <c r="D750" s="12" t="s">
        <v>1496</v>
      </c>
      <c r="E750" s="23" t="str">
        <f>IFERROR(__xludf.DUMMYFUNCTION("REGEXEXTRACT(TO_TEXT(A750), ""(\d{2}/\d{2}/\d{4})"")"),"14/07/2022")</f>
        <v>14/07/2022</v>
      </c>
      <c r="F750" s="26">
        <f t="shared" si="1"/>
        <v>44756</v>
      </c>
    </row>
    <row r="751">
      <c r="A751" s="11" t="s">
        <v>4076</v>
      </c>
      <c r="B751" s="25" t="s">
        <v>4077</v>
      </c>
      <c r="C751" s="11" t="s">
        <v>1497</v>
      </c>
      <c r="D751" s="11" t="s">
        <v>1498</v>
      </c>
      <c r="E751" s="23" t="str">
        <f>IFERROR(__xludf.DUMMYFUNCTION("REGEXEXTRACT(TO_TEXT(A751), ""(\d{2}/\d{2}/\d{4})"")"),"16/07/2022")</f>
        <v>16/07/2022</v>
      </c>
      <c r="F751" s="26">
        <f t="shared" si="1"/>
        <v>44758</v>
      </c>
    </row>
    <row r="752">
      <c r="A752" s="10" t="s">
        <v>4078</v>
      </c>
      <c r="B752" s="25" t="s">
        <v>4079</v>
      </c>
      <c r="C752" s="10" t="s">
        <v>1499</v>
      </c>
      <c r="D752" s="10" t="s">
        <v>1500</v>
      </c>
      <c r="E752" s="23" t="str">
        <f>IFERROR(__xludf.DUMMYFUNCTION("REGEXEXTRACT(TO_TEXT(A752), ""(\d{2}/\d{2}/\d{4})"")"),"19/07/2022")</f>
        <v>19/07/2022</v>
      </c>
      <c r="F752" s="26">
        <f t="shared" si="1"/>
        <v>44761</v>
      </c>
    </row>
    <row r="753">
      <c r="A753" s="11" t="s">
        <v>4080</v>
      </c>
      <c r="B753" s="25" t="s">
        <v>4081</v>
      </c>
      <c r="C753" s="11" t="s">
        <v>1501</v>
      </c>
      <c r="D753" s="11" t="s">
        <v>1502</v>
      </c>
      <c r="E753" s="23" t="str">
        <f>IFERROR(__xludf.DUMMYFUNCTION("REGEXEXTRACT(TO_TEXT(A753), ""(\d{2}/\d{2}/\d{4})"")"),"21/07/2022")</f>
        <v>21/07/2022</v>
      </c>
      <c r="F753" s="26">
        <f t="shared" si="1"/>
        <v>44763</v>
      </c>
    </row>
    <row r="754">
      <c r="A754" s="10" t="s">
        <v>4082</v>
      </c>
      <c r="B754" s="25" t="s">
        <v>4083</v>
      </c>
      <c r="C754" s="10" t="s">
        <v>1503</v>
      </c>
      <c r="D754" s="10" t="s">
        <v>1504</v>
      </c>
      <c r="E754" s="23" t="str">
        <f>IFERROR(__xludf.DUMMYFUNCTION("REGEXEXTRACT(TO_TEXT(A754), ""(\d{2}/\d{2}/\d{4})"")"),"23/07/2022")</f>
        <v>23/07/2022</v>
      </c>
      <c r="F754" s="26">
        <f t="shared" si="1"/>
        <v>44765</v>
      </c>
    </row>
    <row r="755">
      <c r="A755" s="11" t="s">
        <v>4084</v>
      </c>
      <c r="B755" s="25" t="s">
        <v>4085</v>
      </c>
      <c r="C755" s="11" t="s">
        <v>1505</v>
      </c>
      <c r="D755" s="11" t="s">
        <v>1506</v>
      </c>
      <c r="E755" s="23" t="str">
        <f>IFERROR(__xludf.DUMMYFUNCTION("REGEXEXTRACT(TO_TEXT(A755), ""(\d{2}/\d{2}/\d{4})"")"),"26/07/2022")</f>
        <v>26/07/2022</v>
      </c>
      <c r="F755" s="26">
        <f t="shared" si="1"/>
        <v>44768</v>
      </c>
    </row>
    <row r="756">
      <c r="A756" s="10" t="s">
        <v>4086</v>
      </c>
      <c r="B756" s="25" t="s">
        <v>4087</v>
      </c>
      <c r="C756" s="12" t="s">
        <v>1507</v>
      </c>
      <c r="D756" s="10" t="s">
        <v>1508</v>
      </c>
      <c r="E756" s="23" t="str">
        <f>IFERROR(__xludf.DUMMYFUNCTION("REGEXEXTRACT(TO_TEXT(A756), ""(\d{2}/\d{2}/\d{4})"")"),"28/07/2022")</f>
        <v>28/07/2022</v>
      </c>
      <c r="F756" s="26">
        <f t="shared" si="1"/>
        <v>44770</v>
      </c>
    </row>
    <row r="757">
      <c r="A757" s="11" t="s">
        <v>4088</v>
      </c>
      <c r="B757" s="25" t="s">
        <v>4089</v>
      </c>
      <c r="C757" s="11" t="s">
        <v>1509</v>
      </c>
      <c r="D757" s="11" t="s">
        <v>1510</v>
      </c>
      <c r="E757" s="23" t="str">
        <f>IFERROR(__xludf.DUMMYFUNCTION("REGEXEXTRACT(TO_TEXT(A757), ""(\d{2}/\d{2}/\d{4})"")"),"30/07/2022")</f>
        <v>30/07/2022</v>
      </c>
      <c r="F757" s="26">
        <f t="shared" si="1"/>
        <v>44772</v>
      </c>
    </row>
    <row r="758">
      <c r="A758" s="10" t="s">
        <v>4090</v>
      </c>
      <c r="B758" s="25" t="s">
        <v>4091</v>
      </c>
      <c r="C758" s="10" t="s">
        <v>1511</v>
      </c>
      <c r="D758" s="10" t="s">
        <v>1512</v>
      </c>
      <c r="E758" s="23" t="str">
        <f>IFERROR(__xludf.DUMMYFUNCTION("REGEXEXTRACT(TO_TEXT(A758), ""(\d{2}/\d{2}/\d{4})"")"),"02/08/2022")</f>
        <v>02/08/2022</v>
      </c>
      <c r="F758" s="26">
        <f t="shared" si="1"/>
        <v>44775</v>
      </c>
    </row>
    <row r="759">
      <c r="A759" s="11" t="s">
        <v>4092</v>
      </c>
      <c r="B759" s="25" t="s">
        <v>4093</v>
      </c>
      <c r="C759" s="11" t="s">
        <v>1513</v>
      </c>
      <c r="D759" s="11" t="s">
        <v>1514</v>
      </c>
      <c r="E759" s="23" t="str">
        <f>IFERROR(__xludf.DUMMYFUNCTION("REGEXEXTRACT(TO_TEXT(A759), ""(\d{2}/\d{2}/\d{4})"")"),"04/08/2022")</f>
        <v>04/08/2022</v>
      </c>
      <c r="F759" s="26">
        <f t="shared" si="1"/>
        <v>44777</v>
      </c>
    </row>
    <row r="760">
      <c r="A760" s="10" t="s">
        <v>4094</v>
      </c>
      <c r="B760" s="25" t="s">
        <v>4095</v>
      </c>
      <c r="C760" s="10" t="s">
        <v>1515</v>
      </c>
      <c r="D760" s="10" t="s">
        <v>1516</v>
      </c>
      <c r="E760" s="23" t="str">
        <f>IFERROR(__xludf.DUMMYFUNCTION("REGEXEXTRACT(TO_TEXT(A760), ""(\d{2}/\d{2}/\d{4})"")"),"06/08/2022")</f>
        <v>06/08/2022</v>
      </c>
      <c r="F760" s="26">
        <f t="shared" si="1"/>
        <v>44779</v>
      </c>
    </row>
    <row r="761">
      <c r="A761" s="11" t="s">
        <v>4096</v>
      </c>
      <c r="B761" s="25" t="s">
        <v>4097</v>
      </c>
      <c r="C761" s="11" t="s">
        <v>1517</v>
      </c>
      <c r="D761" s="11" t="s">
        <v>1518</v>
      </c>
      <c r="E761" s="23" t="str">
        <f>IFERROR(__xludf.DUMMYFUNCTION("REGEXEXTRACT(TO_TEXT(A761), ""(\d{2}/\d{2}/\d{4})"")"),"09/08/2022")</f>
        <v>09/08/2022</v>
      </c>
      <c r="F761" s="26">
        <f t="shared" si="1"/>
        <v>44782</v>
      </c>
    </row>
    <row r="762">
      <c r="A762" s="10" t="s">
        <v>4098</v>
      </c>
      <c r="B762" s="25" t="s">
        <v>4099</v>
      </c>
      <c r="C762" s="10" t="s">
        <v>1519</v>
      </c>
      <c r="D762" s="10" t="s">
        <v>1520</v>
      </c>
      <c r="E762" s="23" t="str">
        <f>IFERROR(__xludf.DUMMYFUNCTION("REGEXEXTRACT(TO_TEXT(A762), ""(\d{2}/\d{2}/\d{4})"")"),"11/08/2022")</f>
        <v>11/08/2022</v>
      </c>
      <c r="F762" s="26">
        <f t="shared" si="1"/>
        <v>44784</v>
      </c>
    </row>
    <row r="763">
      <c r="A763" s="11" t="s">
        <v>4100</v>
      </c>
      <c r="B763" s="25" t="s">
        <v>4101</v>
      </c>
      <c r="C763" s="11" t="s">
        <v>1521</v>
      </c>
      <c r="D763" s="11" t="s">
        <v>1522</v>
      </c>
      <c r="E763" s="23" t="str">
        <f>IFERROR(__xludf.DUMMYFUNCTION("REGEXEXTRACT(TO_TEXT(A763), ""(\d{2}/\d{2}/\d{4})"")"),"13/08/2022")</f>
        <v>13/08/2022</v>
      </c>
      <c r="F763" s="26">
        <f t="shared" si="1"/>
        <v>44786</v>
      </c>
    </row>
    <row r="764">
      <c r="A764" s="10" t="s">
        <v>4102</v>
      </c>
      <c r="B764" s="25" t="s">
        <v>4103</v>
      </c>
      <c r="C764" s="10" t="s">
        <v>1523</v>
      </c>
      <c r="D764" s="12" t="s">
        <v>1524</v>
      </c>
      <c r="E764" s="23" t="str">
        <f>IFERROR(__xludf.DUMMYFUNCTION("REGEXEXTRACT(TO_TEXT(A764), ""(\d{2}/\d{2}/\d{4})"")"),"16/08/2022")</f>
        <v>16/08/2022</v>
      </c>
      <c r="F764" s="26">
        <f t="shared" si="1"/>
        <v>44789</v>
      </c>
    </row>
    <row r="765">
      <c r="A765" s="11" t="s">
        <v>4104</v>
      </c>
      <c r="B765" s="25" t="s">
        <v>4105</v>
      </c>
      <c r="C765" s="11" t="s">
        <v>1525</v>
      </c>
      <c r="D765" s="11" t="s">
        <v>1526</v>
      </c>
      <c r="E765" s="23" t="str">
        <f>IFERROR(__xludf.DUMMYFUNCTION("REGEXEXTRACT(TO_TEXT(A765), ""(\d{2}/\d{2}/\d{4})"")"),"18/08/2022")</f>
        <v>18/08/2022</v>
      </c>
      <c r="F765" s="26">
        <f t="shared" si="1"/>
        <v>44791</v>
      </c>
    </row>
    <row r="766">
      <c r="A766" s="10" t="s">
        <v>4106</v>
      </c>
      <c r="B766" s="25" t="s">
        <v>4107</v>
      </c>
      <c r="C766" s="10" t="s">
        <v>1527</v>
      </c>
      <c r="D766" s="12" t="s">
        <v>1528</v>
      </c>
      <c r="E766" s="23" t="str">
        <f>IFERROR(__xludf.DUMMYFUNCTION("REGEXEXTRACT(TO_TEXT(A766), ""(\d{2}/\d{2}/\d{4})"")"),"20/08/2022")</f>
        <v>20/08/2022</v>
      </c>
      <c r="F766" s="26">
        <f t="shared" si="1"/>
        <v>44793</v>
      </c>
    </row>
    <row r="767">
      <c r="A767" s="11" t="s">
        <v>4108</v>
      </c>
      <c r="B767" s="25" t="s">
        <v>4109</v>
      </c>
      <c r="C767" s="11" t="s">
        <v>1529</v>
      </c>
      <c r="D767" s="11" t="s">
        <v>1530</v>
      </c>
      <c r="E767" s="23" t="str">
        <f>IFERROR(__xludf.DUMMYFUNCTION("REGEXEXTRACT(TO_TEXT(A767), ""(\d{2}/\d{2}/\d{4})"")"),"23/08/2022")</f>
        <v>23/08/2022</v>
      </c>
      <c r="F767" s="26">
        <f t="shared" si="1"/>
        <v>44796</v>
      </c>
    </row>
    <row r="768">
      <c r="A768" s="10" t="s">
        <v>4110</v>
      </c>
      <c r="B768" s="25" t="s">
        <v>4111</v>
      </c>
      <c r="C768" s="10" t="s">
        <v>1531</v>
      </c>
      <c r="D768" s="10" t="s">
        <v>1532</v>
      </c>
      <c r="E768" s="23" t="str">
        <f>IFERROR(__xludf.DUMMYFUNCTION("REGEXEXTRACT(TO_TEXT(A768), ""(\d{2}/\d{2}/\d{4})"")"),"25/08/2022")</f>
        <v>25/08/2022</v>
      </c>
      <c r="F768" s="26">
        <f t="shared" si="1"/>
        <v>44798</v>
      </c>
    </row>
    <row r="769">
      <c r="A769" s="11" t="s">
        <v>4112</v>
      </c>
      <c r="B769" s="25" t="s">
        <v>4113</v>
      </c>
      <c r="C769" s="11" t="s">
        <v>1533</v>
      </c>
      <c r="D769" s="11" t="s">
        <v>1534</v>
      </c>
      <c r="E769" s="23" t="str">
        <f>IFERROR(__xludf.DUMMYFUNCTION("REGEXEXTRACT(TO_TEXT(A769), ""(\d{2}/\d{2}/\d{4})"")"),"27/08/2022")</f>
        <v>27/08/2022</v>
      </c>
      <c r="F769" s="26">
        <f t="shared" si="1"/>
        <v>44800</v>
      </c>
    </row>
    <row r="770">
      <c r="A770" s="10" t="s">
        <v>4114</v>
      </c>
      <c r="B770" s="25" t="s">
        <v>4115</v>
      </c>
      <c r="C770" s="10" t="s">
        <v>1535</v>
      </c>
      <c r="D770" s="10" t="s">
        <v>1536</v>
      </c>
      <c r="E770" s="23" t="str">
        <f>IFERROR(__xludf.DUMMYFUNCTION("REGEXEXTRACT(TO_TEXT(A770), ""(\d{2}/\d{2}/\d{4})"")"),"30/08/2022")</f>
        <v>30/08/2022</v>
      </c>
      <c r="F770" s="26">
        <f t="shared" si="1"/>
        <v>44803</v>
      </c>
    </row>
    <row r="771">
      <c r="A771" s="11" t="s">
        <v>4116</v>
      </c>
      <c r="B771" s="25" t="s">
        <v>4117</v>
      </c>
      <c r="C771" s="11" t="s">
        <v>1537</v>
      </c>
      <c r="D771" s="11" t="s">
        <v>1538</v>
      </c>
      <c r="E771" s="23" t="str">
        <f>IFERROR(__xludf.DUMMYFUNCTION("REGEXEXTRACT(TO_TEXT(A771), ""(\d{2}/\d{2}/\d{4})"")"),"01/09/2022")</f>
        <v>01/09/2022</v>
      </c>
      <c r="F771" s="26">
        <f t="shared" si="1"/>
        <v>44805</v>
      </c>
    </row>
    <row r="772">
      <c r="A772" s="10" t="s">
        <v>4118</v>
      </c>
      <c r="B772" s="25" t="s">
        <v>4119</v>
      </c>
      <c r="C772" s="10" t="s">
        <v>1539</v>
      </c>
      <c r="D772" s="10" t="s">
        <v>1540</v>
      </c>
      <c r="E772" s="23" t="str">
        <f>IFERROR(__xludf.DUMMYFUNCTION("REGEXEXTRACT(TO_TEXT(A772), ""(\d{2}/\d{2}/\d{4})"")"),"03/09/2022")</f>
        <v>03/09/2022</v>
      </c>
      <c r="F772" s="26">
        <f t="shared" si="1"/>
        <v>44807</v>
      </c>
    </row>
    <row r="773">
      <c r="A773" s="11" t="s">
        <v>4120</v>
      </c>
      <c r="B773" s="25" t="s">
        <v>4121</v>
      </c>
      <c r="C773" s="11" t="s">
        <v>1541</v>
      </c>
      <c r="D773" s="11" t="s">
        <v>1542</v>
      </c>
      <c r="E773" s="23" t="str">
        <f>IFERROR(__xludf.DUMMYFUNCTION("REGEXEXTRACT(TO_TEXT(A773), ""(\d{2}/\d{2}/\d{4})"")"),"06/09/2022")</f>
        <v>06/09/2022</v>
      </c>
      <c r="F773" s="26">
        <f t="shared" si="1"/>
        <v>44810</v>
      </c>
    </row>
    <row r="774">
      <c r="A774" s="10" t="s">
        <v>4122</v>
      </c>
      <c r="B774" s="25" t="s">
        <v>4123</v>
      </c>
      <c r="C774" s="10" t="s">
        <v>1543</v>
      </c>
      <c r="D774" s="12" t="s">
        <v>1544</v>
      </c>
      <c r="E774" s="23" t="str">
        <f>IFERROR(__xludf.DUMMYFUNCTION("REGEXEXTRACT(TO_TEXT(A774), ""(\d{2}/\d{2}/\d{4})"")"),"08/09/2022")</f>
        <v>08/09/2022</v>
      </c>
      <c r="F774" s="26">
        <f t="shared" si="1"/>
        <v>44812</v>
      </c>
    </row>
    <row r="775">
      <c r="A775" s="11" t="s">
        <v>4124</v>
      </c>
      <c r="B775" s="25" t="s">
        <v>4125</v>
      </c>
      <c r="C775" s="11" t="s">
        <v>1545</v>
      </c>
      <c r="D775" s="13" t="s">
        <v>1546</v>
      </c>
      <c r="E775" s="23" t="str">
        <f>IFERROR(__xludf.DUMMYFUNCTION("REGEXEXTRACT(TO_TEXT(A775), ""(\d{2}/\d{2}/\d{4})"")"),"10/09/2022")</f>
        <v>10/09/2022</v>
      </c>
      <c r="F775" s="26">
        <f t="shared" si="1"/>
        <v>44814</v>
      </c>
    </row>
    <row r="776">
      <c r="A776" s="10" t="s">
        <v>4126</v>
      </c>
      <c r="B776" s="25" t="s">
        <v>4127</v>
      </c>
      <c r="C776" s="10" t="s">
        <v>1547</v>
      </c>
      <c r="D776" s="10" t="s">
        <v>1548</v>
      </c>
      <c r="E776" s="23" t="str">
        <f>IFERROR(__xludf.DUMMYFUNCTION("REGEXEXTRACT(TO_TEXT(A776), ""(\d{2}/\d{2}/\d{4})"")"),"13/09/2022")</f>
        <v>13/09/2022</v>
      </c>
      <c r="F776" s="26">
        <f t="shared" si="1"/>
        <v>44817</v>
      </c>
    </row>
    <row r="777">
      <c r="A777" s="11" t="s">
        <v>4128</v>
      </c>
      <c r="B777" s="25" t="s">
        <v>4129</v>
      </c>
      <c r="C777" s="11" t="s">
        <v>1549</v>
      </c>
      <c r="D777" s="11" t="s">
        <v>1550</v>
      </c>
      <c r="E777" s="23" t="str">
        <f>IFERROR(__xludf.DUMMYFUNCTION("REGEXEXTRACT(TO_TEXT(A777), ""(\d{2}/\d{2}/\d{4})"")"),"15/09/2022")</f>
        <v>15/09/2022</v>
      </c>
      <c r="F777" s="26">
        <f t="shared" si="1"/>
        <v>44819</v>
      </c>
    </row>
    <row r="778">
      <c r="A778" s="10" t="s">
        <v>4130</v>
      </c>
      <c r="B778" s="25" t="s">
        <v>4131</v>
      </c>
      <c r="C778" s="10" t="s">
        <v>1551</v>
      </c>
      <c r="D778" s="10" t="s">
        <v>1552</v>
      </c>
      <c r="E778" s="23" t="str">
        <f>IFERROR(__xludf.DUMMYFUNCTION("REGEXEXTRACT(TO_TEXT(A778), ""(\d{2}/\d{2}/\d{4})"")"),"17/09/2022")</f>
        <v>17/09/2022</v>
      </c>
      <c r="F778" s="26">
        <f t="shared" si="1"/>
        <v>44821</v>
      </c>
    </row>
    <row r="779">
      <c r="A779" s="11" t="s">
        <v>4132</v>
      </c>
      <c r="B779" s="25" t="s">
        <v>4133</v>
      </c>
      <c r="C779" s="11" t="s">
        <v>1553</v>
      </c>
      <c r="D779" s="11" t="s">
        <v>1554</v>
      </c>
      <c r="E779" s="23" t="str">
        <f>IFERROR(__xludf.DUMMYFUNCTION("REGEXEXTRACT(TO_TEXT(A779), ""(\d{2}/\d{2}/\d{4})"")"),"20/09/2022")</f>
        <v>20/09/2022</v>
      </c>
      <c r="F779" s="26">
        <f t="shared" si="1"/>
        <v>44824</v>
      </c>
    </row>
    <row r="780">
      <c r="A780" s="10" t="s">
        <v>4134</v>
      </c>
      <c r="B780" s="25" t="s">
        <v>4135</v>
      </c>
      <c r="C780" s="12" t="s">
        <v>1555</v>
      </c>
      <c r="D780" s="12" t="s">
        <v>1556</v>
      </c>
      <c r="E780" s="23" t="str">
        <f>IFERROR(__xludf.DUMMYFUNCTION("REGEXEXTRACT(TO_TEXT(A780), ""(\d{2}/\d{2}/\d{4})"")"),"22/09/2022")</f>
        <v>22/09/2022</v>
      </c>
      <c r="F780" s="26">
        <f t="shared" si="1"/>
        <v>44826</v>
      </c>
    </row>
    <row r="781">
      <c r="A781" s="11" t="s">
        <v>4136</v>
      </c>
      <c r="B781" s="25" t="s">
        <v>4137</v>
      </c>
      <c r="C781" s="11" t="s">
        <v>1557</v>
      </c>
      <c r="D781" s="11" t="s">
        <v>1558</v>
      </c>
      <c r="E781" s="23" t="str">
        <f>IFERROR(__xludf.DUMMYFUNCTION("REGEXEXTRACT(TO_TEXT(A781), ""(\d{2}/\d{2}/\d{4})"")"),"24/09/2022")</f>
        <v>24/09/2022</v>
      </c>
      <c r="F781" s="26">
        <f t="shared" si="1"/>
        <v>44828</v>
      </c>
    </row>
    <row r="782">
      <c r="A782" s="10" t="s">
        <v>4138</v>
      </c>
      <c r="B782" s="25" t="s">
        <v>4139</v>
      </c>
      <c r="C782" s="10" t="s">
        <v>1559</v>
      </c>
      <c r="D782" s="10" t="s">
        <v>1560</v>
      </c>
      <c r="E782" s="23" t="str">
        <f>IFERROR(__xludf.DUMMYFUNCTION("REGEXEXTRACT(TO_TEXT(A782), ""(\d{2}/\d{2}/\d{4})"")"),"27/09/2022")</f>
        <v>27/09/2022</v>
      </c>
      <c r="F782" s="26">
        <f t="shared" si="1"/>
        <v>44831</v>
      </c>
    </row>
    <row r="783">
      <c r="A783" s="11" t="s">
        <v>4140</v>
      </c>
      <c r="B783" s="25" t="s">
        <v>4141</v>
      </c>
      <c r="C783" s="11" t="s">
        <v>1561</v>
      </c>
      <c r="D783" s="11" t="s">
        <v>1562</v>
      </c>
      <c r="E783" s="23" t="str">
        <f>IFERROR(__xludf.DUMMYFUNCTION("REGEXEXTRACT(TO_TEXT(A783), ""(\d{2}/\d{2}/\d{4})"")"),"29/09/2022")</f>
        <v>29/09/2022</v>
      </c>
      <c r="F783" s="26">
        <f t="shared" si="1"/>
        <v>44833</v>
      </c>
    </row>
    <row r="784">
      <c r="A784" s="10" t="s">
        <v>4142</v>
      </c>
      <c r="B784" s="25" t="s">
        <v>4143</v>
      </c>
      <c r="C784" s="12" t="s">
        <v>1563</v>
      </c>
      <c r="D784" s="10" t="s">
        <v>1564</v>
      </c>
      <c r="E784" s="23" t="str">
        <f>IFERROR(__xludf.DUMMYFUNCTION("REGEXEXTRACT(TO_TEXT(A784), ""(\d{2}/\d{2}/\d{4})"")"),"01/10/2022")</f>
        <v>01/10/2022</v>
      </c>
      <c r="F784" s="26">
        <f t="shared" si="1"/>
        <v>44835</v>
      </c>
    </row>
    <row r="785">
      <c r="A785" s="11" t="s">
        <v>4144</v>
      </c>
      <c r="B785" s="25" t="s">
        <v>4145</v>
      </c>
      <c r="C785" s="11" t="s">
        <v>1565</v>
      </c>
      <c r="D785" s="11" t="s">
        <v>1566</v>
      </c>
      <c r="E785" s="23" t="str">
        <f>IFERROR(__xludf.DUMMYFUNCTION("REGEXEXTRACT(TO_TEXT(A785), ""(\d{2}/\d{2}/\d{4})"")"),"04/10/2022")</f>
        <v>04/10/2022</v>
      </c>
      <c r="F785" s="26">
        <f t="shared" si="1"/>
        <v>44838</v>
      </c>
    </row>
    <row r="786">
      <c r="A786" s="10" t="s">
        <v>4146</v>
      </c>
      <c r="B786" s="25" t="s">
        <v>4147</v>
      </c>
      <c r="C786" s="10" t="s">
        <v>1567</v>
      </c>
      <c r="D786" s="10" t="s">
        <v>1568</v>
      </c>
      <c r="E786" s="23" t="str">
        <f>IFERROR(__xludf.DUMMYFUNCTION("REGEXEXTRACT(TO_TEXT(A786), ""(\d{2}/\d{2}/\d{4})"")"),"06/10/2022")</f>
        <v>06/10/2022</v>
      </c>
      <c r="F786" s="26">
        <f t="shared" si="1"/>
        <v>44840</v>
      </c>
    </row>
    <row r="787">
      <c r="A787" s="11" t="s">
        <v>4148</v>
      </c>
      <c r="B787" s="25" t="s">
        <v>4149</v>
      </c>
      <c r="C787" s="11" t="s">
        <v>1569</v>
      </c>
      <c r="D787" s="11" t="s">
        <v>1570</v>
      </c>
      <c r="E787" s="23" t="str">
        <f>IFERROR(__xludf.DUMMYFUNCTION("REGEXEXTRACT(TO_TEXT(A787), ""(\d{2}/\d{2}/\d{4})"")"),"08/10/2022")</f>
        <v>08/10/2022</v>
      </c>
      <c r="F787" s="26">
        <f t="shared" si="1"/>
        <v>44842</v>
      </c>
    </row>
    <row r="788">
      <c r="A788" s="10" t="s">
        <v>4150</v>
      </c>
      <c r="B788" s="25" t="s">
        <v>4151</v>
      </c>
      <c r="C788" s="10" t="s">
        <v>1571</v>
      </c>
      <c r="D788" s="10" t="s">
        <v>1572</v>
      </c>
      <c r="E788" s="23" t="str">
        <f>IFERROR(__xludf.DUMMYFUNCTION("REGEXEXTRACT(TO_TEXT(A788), ""(\d{2}/\d{2}/\d{4})"")"),"11/10/2022")</f>
        <v>11/10/2022</v>
      </c>
      <c r="F788" s="26">
        <f t="shared" si="1"/>
        <v>44845</v>
      </c>
    </row>
    <row r="789">
      <c r="A789" s="11" t="s">
        <v>4152</v>
      </c>
      <c r="B789" s="25" t="s">
        <v>4153</v>
      </c>
      <c r="C789" s="11" t="s">
        <v>1573</v>
      </c>
      <c r="D789" s="13" t="s">
        <v>1574</v>
      </c>
      <c r="E789" s="23" t="str">
        <f>IFERROR(__xludf.DUMMYFUNCTION("REGEXEXTRACT(TO_TEXT(A789), ""(\d{2}/\d{2}/\d{4})"")"),"13/10/2022")</f>
        <v>13/10/2022</v>
      </c>
      <c r="F789" s="26">
        <f t="shared" si="1"/>
        <v>44847</v>
      </c>
    </row>
    <row r="790">
      <c r="A790" s="10" t="s">
        <v>4154</v>
      </c>
      <c r="B790" s="25" t="s">
        <v>4155</v>
      </c>
      <c r="C790" s="10" t="s">
        <v>1575</v>
      </c>
      <c r="D790" s="10" t="s">
        <v>1576</v>
      </c>
      <c r="E790" s="23" t="str">
        <f>IFERROR(__xludf.DUMMYFUNCTION("REGEXEXTRACT(TO_TEXT(A790), ""(\d{2}/\d{2}/\d{4})"")"),"15/10/2022")</f>
        <v>15/10/2022</v>
      </c>
      <c r="F790" s="26">
        <f t="shared" si="1"/>
        <v>44849</v>
      </c>
    </row>
    <row r="791">
      <c r="A791" s="11" t="s">
        <v>4156</v>
      </c>
      <c r="B791" s="25" t="s">
        <v>4157</v>
      </c>
      <c r="C791" s="11" t="s">
        <v>1577</v>
      </c>
      <c r="D791" s="11" t="s">
        <v>1578</v>
      </c>
      <c r="E791" s="23" t="str">
        <f>IFERROR(__xludf.DUMMYFUNCTION("REGEXEXTRACT(TO_TEXT(A791), ""(\d{2}/\d{2}/\d{4})"")"),"18/10/2022")</f>
        <v>18/10/2022</v>
      </c>
      <c r="F791" s="26">
        <f t="shared" si="1"/>
        <v>44852</v>
      </c>
    </row>
    <row r="792">
      <c r="A792" s="10" t="s">
        <v>4158</v>
      </c>
      <c r="B792" s="25" t="s">
        <v>4159</v>
      </c>
      <c r="C792" s="10" t="s">
        <v>1579</v>
      </c>
      <c r="D792" s="10" t="s">
        <v>1580</v>
      </c>
      <c r="E792" s="23" t="str">
        <f>IFERROR(__xludf.DUMMYFUNCTION("REGEXEXTRACT(TO_TEXT(A792), ""(\d{2}/\d{2}/\d{4})"")"),"20/10/2022")</f>
        <v>20/10/2022</v>
      </c>
      <c r="F792" s="26">
        <f t="shared" si="1"/>
        <v>44854</v>
      </c>
    </row>
    <row r="793">
      <c r="A793" s="11" t="s">
        <v>4160</v>
      </c>
      <c r="B793" s="25" t="s">
        <v>4161</v>
      </c>
      <c r="C793" s="11" t="s">
        <v>1581</v>
      </c>
      <c r="D793" s="11" t="s">
        <v>1582</v>
      </c>
      <c r="E793" s="23" t="str">
        <f>IFERROR(__xludf.DUMMYFUNCTION("REGEXEXTRACT(TO_TEXT(A793), ""(\d{2}/\d{2}/\d{4})"")"),"22/10/2022")</f>
        <v>22/10/2022</v>
      </c>
      <c r="F793" s="26">
        <f t="shared" si="1"/>
        <v>44856</v>
      </c>
    </row>
    <row r="794">
      <c r="A794" s="10" t="s">
        <v>4162</v>
      </c>
      <c r="B794" s="25" t="s">
        <v>4163</v>
      </c>
      <c r="C794" s="10" t="s">
        <v>1583</v>
      </c>
      <c r="D794" s="12" t="s">
        <v>1584</v>
      </c>
      <c r="E794" s="23" t="str">
        <f>IFERROR(__xludf.DUMMYFUNCTION("REGEXEXTRACT(TO_TEXT(A794), ""(\d{2}/\d{2}/\d{4})"")"),"25/10/2022")</f>
        <v>25/10/2022</v>
      </c>
      <c r="F794" s="26">
        <f t="shared" si="1"/>
        <v>44859</v>
      </c>
    </row>
    <row r="795">
      <c r="A795" s="11" t="s">
        <v>4164</v>
      </c>
      <c r="B795" s="25" t="s">
        <v>4165</v>
      </c>
      <c r="C795" s="11" t="s">
        <v>1585</v>
      </c>
      <c r="D795" s="11" t="s">
        <v>1586</v>
      </c>
      <c r="E795" s="23" t="str">
        <f>IFERROR(__xludf.DUMMYFUNCTION("REGEXEXTRACT(TO_TEXT(A795), ""(\d{2}/\d{2}/\d{4})"")"),"27/10/2022")</f>
        <v>27/10/2022</v>
      </c>
      <c r="F795" s="26">
        <f t="shared" si="1"/>
        <v>44861</v>
      </c>
    </row>
    <row r="796">
      <c r="A796" s="10" t="s">
        <v>4166</v>
      </c>
      <c r="B796" s="25" t="s">
        <v>4167</v>
      </c>
      <c r="C796" s="10" t="s">
        <v>1587</v>
      </c>
      <c r="D796" s="10" t="s">
        <v>1588</v>
      </c>
      <c r="E796" s="23" t="str">
        <f>IFERROR(__xludf.DUMMYFUNCTION("REGEXEXTRACT(TO_TEXT(A796), ""(\d{2}/\d{2}/\d{4})"")"),"29/10/2022")</f>
        <v>29/10/2022</v>
      </c>
      <c r="F796" s="26">
        <f t="shared" si="1"/>
        <v>44863</v>
      </c>
    </row>
    <row r="797">
      <c r="A797" s="11" t="s">
        <v>4168</v>
      </c>
      <c r="B797" s="25" t="s">
        <v>4169</v>
      </c>
      <c r="C797" s="11" t="s">
        <v>1589</v>
      </c>
      <c r="D797" s="13" t="s">
        <v>1590</v>
      </c>
      <c r="E797" s="23" t="str">
        <f>IFERROR(__xludf.DUMMYFUNCTION("REGEXEXTRACT(TO_TEXT(A797), ""(\d{2}/\d{2}/\d{4})"")"),"01/11/2022")</f>
        <v>01/11/2022</v>
      </c>
      <c r="F797" s="26">
        <f t="shared" si="1"/>
        <v>44866</v>
      </c>
    </row>
    <row r="798">
      <c r="A798" s="10" t="s">
        <v>4170</v>
      </c>
      <c r="B798" s="25" t="s">
        <v>4171</v>
      </c>
      <c r="C798" s="10" t="s">
        <v>1591</v>
      </c>
      <c r="D798" s="10" t="s">
        <v>1592</v>
      </c>
      <c r="E798" s="23" t="str">
        <f>IFERROR(__xludf.DUMMYFUNCTION("REGEXEXTRACT(TO_TEXT(A798), ""(\d{2}/\d{2}/\d{4})"")"),"03/11/2022")</f>
        <v>03/11/2022</v>
      </c>
      <c r="F798" s="26">
        <f t="shared" si="1"/>
        <v>44868</v>
      </c>
    </row>
    <row r="799">
      <c r="A799" s="11" t="s">
        <v>4172</v>
      </c>
      <c r="B799" s="25" t="s">
        <v>4173</v>
      </c>
      <c r="C799" s="11" t="s">
        <v>1593</v>
      </c>
      <c r="D799" s="11" t="s">
        <v>1594</v>
      </c>
      <c r="E799" s="23" t="str">
        <f>IFERROR(__xludf.DUMMYFUNCTION("REGEXEXTRACT(TO_TEXT(A799), ""(\d{2}/\d{2}/\d{4})"")"),"05/11/2022")</f>
        <v>05/11/2022</v>
      </c>
      <c r="F799" s="26">
        <f t="shared" si="1"/>
        <v>44870</v>
      </c>
    </row>
    <row r="800">
      <c r="A800" s="10" t="s">
        <v>4174</v>
      </c>
      <c r="B800" s="25" t="s">
        <v>4175</v>
      </c>
      <c r="C800" s="10" t="s">
        <v>1595</v>
      </c>
      <c r="D800" s="12" t="s">
        <v>1596</v>
      </c>
      <c r="E800" s="23" t="str">
        <f>IFERROR(__xludf.DUMMYFUNCTION("REGEXEXTRACT(TO_TEXT(A800), ""(\d{2}/\d{2}/\d{4})"")"),"08/11/2022")</f>
        <v>08/11/2022</v>
      </c>
      <c r="F800" s="26">
        <f t="shared" si="1"/>
        <v>44873</v>
      </c>
    </row>
    <row r="801">
      <c r="A801" s="11" t="s">
        <v>4176</v>
      </c>
      <c r="B801" s="25" t="s">
        <v>4177</v>
      </c>
      <c r="C801" s="11" t="s">
        <v>1597</v>
      </c>
      <c r="D801" s="13" t="s">
        <v>1598</v>
      </c>
      <c r="E801" s="23" t="str">
        <f>IFERROR(__xludf.DUMMYFUNCTION("REGEXEXTRACT(TO_TEXT(A801), ""(\d{2}/\d{2}/\d{4})"")"),"10/11/2022")</f>
        <v>10/11/2022</v>
      </c>
      <c r="F801" s="26">
        <f t="shared" si="1"/>
        <v>44875</v>
      </c>
    </row>
    <row r="802">
      <c r="A802" s="10" t="s">
        <v>4178</v>
      </c>
      <c r="B802" s="25" t="s">
        <v>4179</v>
      </c>
      <c r="C802" s="10" t="s">
        <v>1599</v>
      </c>
      <c r="D802" s="10" t="s">
        <v>1600</v>
      </c>
      <c r="E802" s="23" t="str">
        <f>IFERROR(__xludf.DUMMYFUNCTION("REGEXEXTRACT(TO_TEXT(A802), ""(\d{2}/\d{2}/\d{4})"")"),"12/11/2022")</f>
        <v>12/11/2022</v>
      </c>
      <c r="F802" s="26">
        <f t="shared" si="1"/>
        <v>44877</v>
      </c>
    </row>
    <row r="803">
      <c r="A803" s="11" t="s">
        <v>4180</v>
      </c>
      <c r="B803" s="25" t="s">
        <v>4181</v>
      </c>
      <c r="C803" s="11" t="s">
        <v>1601</v>
      </c>
      <c r="D803" s="13" t="s">
        <v>1602</v>
      </c>
      <c r="E803" s="23" t="str">
        <f>IFERROR(__xludf.DUMMYFUNCTION("REGEXEXTRACT(TO_TEXT(A803), ""(\d{2}/\d{2}/\d{4})"")"),"15/11/2022")</f>
        <v>15/11/2022</v>
      </c>
      <c r="F803" s="26">
        <f t="shared" si="1"/>
        <v>44880</v>
      </c>
    </row>
    <row r="804">
      <c r="A804" s="10" t="s">
        <v>4182</v>
      </c>
      <c r="B804" s="25" t="s">
        <v>4183</v>
      </c>
      <c r="C804" s="10" t="s">
        <v>1603</v>
      </c>
      <c r="D804" s="12" t="s">
        <v>1604</v>
      </c>
      <c r="E804" s="23" t="str">
        <f>IFERROR(__xludf.DUMMYFUNCTION("REGEXEXTRACT(TO_TEXT(A804), ""(\d{2}/\d{2}/\d{4})"")"),"17/11/2022")</f>
        <v>17/11/2022</v>
      </c>
      <c r="F804" s="26">
        <f t="shared" si="1"/>
        <v>44882</v>
      </c>
    </row>
    <row r="805">
      <c r="A805" s="11" t="s">
        <v>4184</v>
      </c>
      <c r="B805" s="25" t="s">
        <v>4185</v>
      </c>
      <c r="C805" s="11" t="s">
        <v>1605</v>
      </c>
      <c r="D805" s="13" t="s">
        <v>1606</v>
      </c>
      <c r="E805" s="23" t="str">
        <f>IFERROR(__xludf.DUMMYFUNCTION("REGEXEXTRACT(TO_TEXT(A805), ""(\d{2}/\d{2}/\d{4})"")"),"19/11/2022")</f>
        <v>19/11/2022</v>
      </c>
      <c r="F805" s="26">
        <f t="shared" si="1"/>
        <v>44884</v>
      </c>
    </row>
    <row r="806">
      <c r="A806" s="10" t="s">
        <v>4186</v>
      </c>
      <c r="B806" s="25" t="s">
        <v>4187</v>
      </c>
      <c r="C806" s="10" t="s">
        <v>1607</v>
      </c>
      <c r="D806" s="12" t="s">
        <v>1608</v>
      </c>
      <c r="E806" s="23" t="str">
        <f>IFERROR(__xludf.DUMMYFUNCTION("REGEXEXTRACT(TO_TEXT(A806), ""(\d{2}/\d{2}/\d{4})"")"),"22/11/2022")</f>
        <v>22/11/2022</v>
      </c>
      <c r="F806" s="26">
        <f t="shared" si="1"/>
        <v>44887</v>
      </c>
    </row>
    <row r="807">
      <c r="A807" s="11" t="s">
        <v>4188</v>
      </c>
      <c r="B807" s="25" t="s">
        <v>4189</v>
      </c>
      <c r="C807" s="11" t="s">
        <v>1609</v>
      </c>
      <c r="D807" s="11" t="s">
        <v>1610</v>
      </c>
      <c r="E807" s="23" t="str">
        <f>IFERROR(__xludf.DUMMYFUNCTION("REGEXEXTRACT(TO_TEXT(A807), ""(\d{2}/\d{2}/\d{4})"")"),"24/11/2022")</f>
        <v>24/11/2022</v>
      </c>
      <c r="F807" s="26">
        <f t="shared" si="1"/>
        <v>44889</v>
      </c>
    </row>
    <row r="808">
      <c r="A808" s="10" t="s">
        <v>4190</v>
      </c>
      <c r="B808" s="25" t="s">
        <v>4191</v>
      </c>
      <c r="C808" s="10" t="s">
        <v>1611</v>
      </c>
      <c r="D808" s="10" t="s">
        <v>1612</v>
      </c>
      <c r="E808" s="23" t="str">
        <f>IFERROR(__xludf.DUMMYFUNCTION("REGEXEXTRACT(TO_TEXT(A808), ""(\d{2}/\d{2}/\d{4})"")"),"26/11/2022")</f>
        <v>26/11/2022</v>
      </c>
      <c r="F808" s="26">
        <f t="shared" si="1"/>
        <v>44891</v>
      </c>
    </row>
    <row r="809">
      <c r="A809" s="11" t="s">
        <v>4192</v>
      </c>
      <c r="B809" s="25" t="s">
        <v>4193</v>
      </c>
      <c r="C809" s="11" t="s">
        <v>1613</v>
      </c>
      <c r="D809" s="13" t="s">
        <v>1614</v>
      </c>
      <c r="E809" s="23" t="str">
        <f>IFERROR(__xludf.DUMMYFUNCTION("REGEXEXTRACT(TO_TEXT(A809), ""(\d{2}/\d{2}/\d{4})"")"),"29/11/2022")</f>
        <v>29/11/2022</v>
      </c>
      <c r="F809" s="26">
        <f t="shared" si="1"/>
        <v>44894</v>
      </c>
    </row>
    <row r="810">
      <c r="A810" s="10" t="s">
        <v>4194</v>
      </c>
      <c r="B810" s="25" t="s">
        <v>4195</v>
      </c>
      <c r="C810" s="10" t="s">
        <v>1615</v>
      </c>
      <c r="D810" s="10" t="s">
        <v>1616</v>
      </c>
      <c r="E810" s="23" t="str">
        <f>IFERROR(__xludf.DUMMYFUNCTION("REGEXEXTRACT(TO_TEXT(A810), ""(\d{2}/\d{2}/\d{4})"")"),"01/12/2022")</f>
        <v>01/12/2022</v>
      </c>
      <c r="F810" s="26">
        <f t="shared" si="1"/>
        <v>44896</v>
      </c>
    </row>
    <row r="811">
      <c r="A811" s="11" t="s">
        <v>4196</v>
      </c>
      <c r="B811" s="25" t="s">
        <v>4197</v>
      </c>
      <c r="C811" s="11" t="s">
        <v>1617</v>
      </c>
      <c r="D811" s="11" t="s">
        <v>1618</v>
      </c>
      <c r="E811" s="23" t="str">
        <f>IFERROR(__xludf.DUMMYFUNCTION("REGEXEXTRACT(TO_TEXT(A811), ""(\d{2}/\d{2}/\d{4})"")"),"03/12/2022")</f>
        <v>03/12/2022</v>
      </c>
      <c r="F811" s="26">
        <f t="shared" si="1"/>
        <v>44898</v>
      </c>
    </row>
    <row r="812">
      <c r="A812" s="10" t="s">
        <v>4198</v>
      </c>
      <c r="B812" s="25" t="s">
        <v>4199</v>
      </c>
      <c r="C812" s="10" t="s">
        <v>1619</v>
      </c>
      <c r="D812" s="10" t="s">
        <v>1620</v>
      </c>
      <c r="E812" s="23" t="str">
        <f>IFERROR(__xludf.DUMMYFUNCTION("REGEXEXTRACT(TO_TEXT(A812), ""(\d{2}/\d{2}/\d{4})"")"),"06/12/2022")</f>
        <v>06/12/2022</v>
      </c>
      <c r="F812" s="26">
        <f t="shared" si="1"/>
        <v>44901</v>
      </c>
    </row>
    <row r="813">
      <c r="A813" s="11" t="s">
        <v>4200</v>
      </c>
      <c r="B813" s="25" t="s">
        <v>4201</v>
      </c>
      <c r="C813" s="11" t="s">
        <v>1621</v>
      </c>
      <c r="D813" s="13" t="s">
        <v>1622</v>
      </c>
      <c r="E813" s="23" t="str">
        <f>IFERROR(__xludf.DUMMYFUNCTION("REGEXEXTRACT(TO_TEXT(A813), ""(\d{2}/\d{2}/\d{4})"")"),"08/12/2022")</f>
        <v>08/12/2022</v>
      </c>
      <c r="F813" s="26">
        <f t="shared" si="1"/>
        <v>44903</v>
      </c>
    </row>
    <row r="814">
      <c r="A814" s="10" t="s">
        <v>4202</v>
      </c>
      <c r="B814" s="25" t="s">
        <v>4203</v>
      </c>
      <c r="C814" s="10" t="s">
        <v>1623</v>
      </c>
      <c r="D814" s="10" t="s">
        <v>1624</v>
      </c>
      <c r="E814" s="23" t="str">
        <f>IFERROR(__xludf.DUMMYFUNCTION("REGEXEXTRACT(TO_TEXT(A814), ""(\d{2}/\d{2}/\d{4})"")"),"10/12/2022")</f>
        <v>10/12/2022</v>
      </c>
      <c r="F814" s="26">
        <f t="shared" si="1"/>
        <v>44905</v>
      </c>
    </row>
    <row r="815">
      <c r="A815" s="11" t="s">
        <v>4204</v>
      </c>
      <c r="B815" s="25" t="s">
        <v>4205</v>
      </c>
      <c r="C815" s="11" t="s">
        <v>1625</v>
      </c>
      <c r="D815" s="13" t="s">
        <v>1626</v>
      </c>
      <c r="E815" s="23" t="str">
        <f>IFERROR(__xludf.DUMMYFUNCTION("REGEXEXTRACT(TO_TEXT(A815), ""(\d{2}/\d{2}/\d{4})"")"),"13/12/2022")</f>
        <v>13/12/2022</v>
      </c>
      <c r="F815" s="26">
        <f t="shared" si="1"/>
        <v>44908</v>
      </c>
    </row>
    <row r="816">
      <c r="A816" s="10" t="s">
        <v>4206</v>
      </c>
      <c r="B816" s="25" t="s">
        <v>4207</v>
      </c>
      <c r="C816" s="10" t="s">
        <v>1627</v>
      </c>
      <c r="D816" s="10" t="s">
        <v>1628</v>
      </c>
      <c r="E816" s="23" t="str">
        <f>IFERROR(__xludf.DUMMYFUNCTION("REGEXEXTRACT(TO_TEXT(A816), ""(\d{2}/\d{2}/\d{4})"")"),"15/12/2022")</f>
        <v>15/12/2022</v>
      </c>
      <c r="F816" s="26">
        <f t="shared" si="1"/>
        <v>44910</v>
      </c>
    </row>
    <row r="817">
      <c r="A817" s="11" t="s">
        <v>4208</v>
      </c>
      <c r="B817" s="25" t="s">
        <v>4209</v>
      </c>
      <c r="C817" s="13" t="s">
        <v>1629</v>
      </c>
      <c r="D817" s="11" t="s">
        <v>1630</v>
      </c>
      <c r="E817" s="23" t="str">
        <f>IFERROR(__xludf.DUMMYFUNCTION("REGEXEXTRACT(TO_TEXT(A817), ""(\d{2}/\d{2}/\d{4})"")"),"17/12/2022")</f>
        <v>17/12/2022</v>
      </c>
      <c r="F817" s="26">
        <f t="shared" si="1"/>
        <v>44912</v>
      </c>
    </row>
    <row r="818">
      <c r="A818" s="10" t="s">
        <v>4210</v>
      </c>
      <c r="B818" s="25" t="s">
        <v>4211</v>
      </c>
      <c r="C818" s="10" t="s">
        <v>1631</v>
      </c>
      <c r="D818" s="12" t="s">
        <v>1632</v>
      </c>
      <c r="E818" s="23" t="str">
        <f>IFERROR(__xludf.DUMMYFUNCTION("REGEXEXTRACT(TO_TEXT(A818), ""(\d{2}/\d{2}/\d{4})"")"),"20/12/2022")</f>
        <v>20/12/2022</v>
      </c>
      <c r="F818" s="26">
        <f t="shared" si="1"/>
        <v>44915</v>
      </c>
    </row>
    <row r="819">
      <c r="A819" s="11" t="s">
        <v>4212</v>
      </c>
      <c r="B819" s="25" t="s">
        <v>4213</v>
      </c>
      <c r="C819" s="11" t="s">
        <v>1633</v>
      </c>
      <c r="D819" s="11" t="s">
        <v>1634</v>
      </c>
      <c r="E819" s="23" t="str">
        <f>IFERROR(__xludf.DUMMYFUNCTION("REGEXEXTRACT(TO_TEXT(A819), ""(\d{2}/\d{2}/\d{4})"")"),"22/12/2022")</f>
        <v>22/12/2022</v>
      </c>
      <c r="F819" s="26">
        <f t="shared" si="1"/>
        <v>44917</v>
      </c>
    </row>
    <row r="820">
      <c r="A820" s="10" t="s">
        <v>4214</v>
      </c>
      <c r="B820" s="25" t="s">
        <v>4215</v>
      </c>
      <c r="C820" s="10" t="s">
        <v>1635</v>
      </c>
      <c r="D820" s="10" t="s">
        <v>1636</v>
      </c>
      <c r="E820" s="23" t="str">
        <f>IFERROR(__xludf.DUMMYFUNCTION("REGEXEXTRACT(TO_TEXT(A820), ""(\d{2}/\d{2}/\d{4})"")"),"24/12/2022")</f>
        <v>24/12/2022</v>
      </c>
      <c r="F820" s="26">
        <f t="shared" si="1"/>
        <v>44919</v>
      </c>
    </row>
    <row r="821">
      <c r="A821" s="11" t="s">
        <v>4216</v>
      </c>
      <c r="B821" s="25" t="s">
        <v>4217</v>
      </c>
      <c r="C821" s="11" t="s">
        <v>1637</v>
      </c>
      <c r="D821" s="11" t="s">
        <v>1638</v>
      </c>
      <c r="E821" s="23" t="str">
        <f>IFERROR(__xludf.DUMMYFUNCTION("REGEXEXTRACT(TO_TEXT(A821), ""(\d{2}/\d{2}/\d{4})"")"),"27/12/2022")</f>
        <v>27/12/2022</v>
      </c>
      <c r="F821" s="26">
        <f t="shared" si="1"/>
        <v>44922</v>
      </c>
    </row>
    <row r="822">
      <c r="A822" s="10" t="s">
        <v>4218</v>
      </c>
      <c r="B822" s="25" t="s">
        <v>4219</v>
      </c>
      <c r="C822" s="10" t="s">
        <v>1639</v>
      </c>
      <c r="D822" s="10" t="s">
        <v>1640</v>
      </c>
      <c r="E822" s="23" t="str">
        <f>IFERROR(__xludf.DUMMYFUNCTION("REGEXEXTRACT(TO_TEXT(A822), ""(\d{2}/\d{2}/\d{4})"")"),"29/12/2022")</f>
        <v>29/12/2022</v>
      </c>
      <c r="F822" s="26">
        <f t="shared" si="1"/>
        <v>44924</v>
      </c>
    </row>
    <row r="823">
      <c r="A823" s="11" t="s">
        <v>4220</v>
      </c>
      <c r="B823" s="25" t="s">
        <v>4221</v>
      </c>
      <c r="C823" s="11" t="s">
        <v>1641</v>
      </c>
      <c r="D823" s="13" t="s">
        <v>1642</v>
      </c>
      <c r="E823" s="23" t="str">
        <f>IFERROR(__xludf.DUMMYFUNCTION("REGEXEXTRACT(TO_TEXT(A823), ""(\d{2}/\d{2}/\d{4})"")"),"31/12/2022")</f>
        <v>31/12/2022</v>
      </c>
      <c r="F823" s="26">
        <f t="shared" si="1"/>
        <v>44926</v>
      </c>
    </row>
    <row r="824">
      <c r="A824" s="10" t="s">
        <v>4222</v>
      </c>
      <c r="B824" s="25" t="s">
        <v>4223</v>
      </c>
      <c r="C824" s="10" t="s">
        <v>1643</v>
      </c>
      <c r="D824" s="10" t="s">
        <v>1644</v>
      </c>
      <c r="E824" s="23" t="str">
        <f>IFERROR(__xludf.DUMMYFUNCTION("REGEXEXTRACT(TO_TEXT(A824), ""(\d{2}/\d{2}/\d{4})"")"),"03/01/2023")</f>
        <v>03/01/2023</v>
      </c>
      <c r="F824" s="26">
        <f t="shared" si="1"/>
        <v>44929</v>
      </c>
    </row>
    <row r="825">
      <c r="A825" s="11" t="s">
        <v>4224</v>
      </c>
      <c r="B825" s="25" t="s">
        <v>4225</v>
      </c>
      <c r="C825" s="11" t="s">
        <v>1645</v>
      </c>
      <c r="D825" s="13" t="s">
        <v>1646</v>
      </c>
      <c r="E825" s="23" t="str">
        <f>IFERROR(__xludf.DUMMYFUNCTION("REGEXEXTRACT(TO_TEXT(A825), ""(\d{2}/\d{2}/\d{4})"")"),"05/01/2023")</f>
        <v>05/01/2023</v>
      </c>
      <c r="F825" s="26">
        <f t="shared" si="1"/>
        <v>44931</v>
      </c>
    </row>
    <row r="826">
      <c r="A826" s="10" t="s">
        <v>4226</v>
      </c>
      <c r="B826" s="25" t="s">
        <v>4227</v>
      </c>
      <c r="C826" s="10" t="s">
        <v>1647</v>
      </c>
      <c r="D826" s="10" t="s">
        <v>1648</v>
      </c>
      <c r="E826" s="23" t="str">
        <f>IFERROR(__xludf.DUMMYFUNCTION("REGEXEXTRACT(TO_TEXT(A826), ""(\d{2}/\d{2}/\d{4})"")"),"07/01/2023")</f>
        <v>07/01/2023</v>
      </c>
      <c r="F826" s="26">
        <f t="shared" si="1"/>
        <v>44933</v>
      </c>
    </row>
    <row r="827">
      <c r="A827" s="11" t="s">
        <v>4228</v>
      </c>
      <c r="B827" s="25" t="s">
        <v>4229</v>
      </c>
      <c r="C827" s="11" t="s">
        <v>1649</v>
      </c>
      <c r="D827" s="11" t="s">
        <v>1650</v>
      </c>
      <c r="E827" s="23" t="str">
        <f>IFERROR(__xludf.DUMMYFUNCTION("REGEXEXTRACT(TO_TEXT(A827), ""(\d{2}/\d{2}/\d{4})"")"),"10/01/2023")</f>
        <v>10/01/2023</v>
      </c>
      <c r="F827" s="26">
        <f t="shared" si="1"/>
        <v>44936</v>
      </c>
    </row>
    <row r="828">
      <c r="A828" s="10" t="s">
        <v>4230</v>
      </c>
      <c r="B828" s="25" t="s">
        <v>4231</v>
      </c>
      <c r="C828" s="10" t="s">
        <v>1651</v>
      </c>
      <c r="D828" s="10" t="s">
        <v>1652</v>
      </c>
      <c r="E828" s="23" t="str">
        <f>IFERROR(__xludf.DUMMYFUNCTION("REGEXEXTRACT(TO_TEXT(A828), ""(\d{2}/\d{2}/\d{4})"")"),"12/01/2023")</f>
        <v>12/01/2023</v>
      </c>
      <c r="F828" s="26">
        <f t="shared" si="1"/>
        <v>44938</v>
      </c>
    </row>
    <row r="829">
      <c r="A829" s="11" t="s">
        <v>4232</v>
      </c>
      <c r="B829" s="25" t="s">
        <v>4233</v>
      </c>
      <c r="C829" s="11" t="s">
        <v>1653</v>
      </c>
      <c r="D829" s="13" t="s">
        <v>1654</v>
      </c>
      <c r="E829" s="23" t="str">
        <f>IFERROR(__xludf.DUMMYFUNCTION("REGEXEXTRACT(TO_TEXT(A829), ""(\d{2}/\d{2}/\d{4})"")"),"14/01/2023")</f>
        <v>14/01/2023</v>
      </c>
      <c r="F829" s="26">
        <f t="shared" si="1"/>
        <v>44940</v>
      </c>
    </row>
    <row r="830">
      <c r="A830" s="10" t="s">
        <v>4234</v>
      </c>
      <c r="B830" s="25" t="s">
        <v>4235</v>
      </c>
      <c r="C830" s="10" t="s">
        <v>1655</v>
      </c>
      <c r="D830" s="10" t="s">
        <v>1656</v>
      </c>
      <c r="E830" s="23" t="str">
        <f>IFERROR(__xludf.DUMMYFUNCTION("REGEXEXTRACT(TO_TEXT(A830), ""(\d{2}/\d{2}/\d{4})"")"),"17/01/2023")</f>
        <v>17/01/2023</v>
      </c>
      <c r="F830" s="26">
        <f t="shared" si="1"/>
        <v>44943</v>
      </c>
    </row>
    <row r="831">
      <c r="A831" s="11" t="s">
        <v>4236</v>
      </c>
      <c r="B831" s="25" t="s">
        <v>4237</v>
      </c>
      <c r="C831" s="11" t="s">
        <v>1657</v>
      </c>
      <c r="D831" s="11" t="s">
        <v>1658</v>
      </c>
      <c r="E831" s="23" t="str">
        <f>IFERROR(__xludf.DUMMYFUNCTION("REGEXEXTRACT(TO_TEXT(A831), ""(\d{2}/\d{2}/\d{4})"")"),"19/01/2023")</f>
        <v>19/01/2023</v>
      </c>
      <c r="F831" s="26">
        <f t="shared" si="1"/>
        <v>44945</v>
      </c>
    </row>
    <row r="832">
      <c r="A832" s="10" t="s">
        <v>4238</v>
      </c>
      <c r="B832" s="25" t="s">
        <v>4239</v>
      </c>
      <c r="C832" s="10" t="s">
        <v>1659</v>
      </c>
      <c r="D832" s="10" t="s">
        <v>1660</v>
      </c>
      <c r="E832" s="23" t="str">
        <f>IFERROR(__xludf.DUMMYFUNCTION("REGEXEXTRACT(TO_TEXT(A832), ""(\d{2}/\d{2}/\d{4})"")"),"24/01/2023")</f>
        <v>24/01/2023</v>
      </c>
      <c r="F832" s="26">
        <f t="shared" si="1"/>
        <v>44950</v>
      </c>
    </row>
    <row r="833">
      <c r="A833" s="11" t="s">
        <v>4240</v>
      </c>
      <c r="B833" s="25" t="s">
        <v>4241</v>
      </c>
      <c r="C833" s="11" t="s">
        <v>1661</v>
      </c>
      <c r="D833" s="11" t="s">
        <v>1662</v>
      </c>
      <c r="E833" s="23" t="str">
        <f>IFERROR(__xludf.DUMMYFUNCTION("REGEXEXTRACT(TO_TEXT(A833), ""(\d{2}/\d{2}/\d{4})"")"),"26/01/2023")</f>
        <v>26/01/2023</v>
      </c>
      <c r="F833" s="26">
        <f t="shared" si="1"/>
        <v>44952</v>
      </c>
    </row>
    <row r="834">
      <c r="A834" s="10" t="s">
        <v>4242</v>
      </c>
      <c r="B834" s="25" t="s">
        <v>4243</v>
      </c>
      <c r="C834" s="10" t="s">
        <v>1663</v>
      </c>
      <c r="D834" s="12" t="s">
        <v>1664</v>
      </c>
      <c r="E834" s="23" t="str">
        <f>IFERROR(__xludf.DUMMYFUNCTION("REGEXEXTRACT(TO_TEXT(A834), ""(\d{2}/\d{2}/\d{4})"")"),"28/01/2023")</f>
        <v>28/01/2023</v>
      </c>
      <c r="F834" s="26">
        <f t="shared" si="1"/>
        <v>44954</v>
      </c>
    </row>
    <row r="835">
      <c r="A835" s="11" t="s">
        <v>4244</v>
      </c>
      <c r="B835" s="25" t="s">
        <v>4245</v>
      </c>
      <c r="C835" s="11" t="s">
        <v>1665</v>
      </c>
      <c r="D835" s="11" t="s">
        <v>1666</v>
      </c>
      <c r="E835" s="23" t="str">
        <f>IFERROR(__xludf.DUMMYFUNCTION("REGEXEXTRACT(TO_TEXT(A835), ""(\d{2}/\d{2}/\d{4})"")"),"31/01/2023")</f>
        <v>31/01/2023</v>
      </c>
      <c r="F835" s="26">
        <f t="shared" si="1"/>
        <v>44957</v>
      </c>
    </row>
    <row r="836">
      <c r="A836" s="10" t="s">
        <v>4246</v>
      </c>
      <c r="B836" s="25" t="s">
        <v>4247</v>
      </c>
      <c r="C836" s="10" t="s">
        <v>1667</v>
      </c>
      <c r="D836" s="10" t="s">
        <v>1668</v>
      </c>
      <c r="E836" s="23" t="str">
        <f>IFERROR(__xludf.DUMMYFUNCTION("REGEXEXTRACT(TO_TEXT(A836), ""(\d{2}/\d{2}/\d{4})"")"),"02/02/2023")</f>
        <v>02/02/2023</v>
      </c>
      <c r="F836" s="26">
        <f t="shared" si="1"/>
        <v>44959</v>
      </c>
    </row>
    <row r="837">
      <c r="A837" s="11" t="s">
        <v>4248</v>
      </c>
      <c r="B837" s="25" t="s">
        <v>4249</v>
      </c>
      <c r="C837" s="11" t="s">
        <v>1669</v>
      </c>
      <c r="D837" s="11" t="s">
        <v>1670</v>
      </c>
      <c r="E837" s="23" t="str">
        <f>IFERROR(__xludf.DUMMYFUNCTION("REGEXEXTRACT(TO_TEXT(A837), ""(\d{2}/\d{2}/\d{4})"")"),"04/02/2023")</f>
        <v>04/02/2023</v>
      </c>
      <c r="F837" s="26">
        <f t="shared" si="1"/>
        <v>44961</v>
      </c>
    </row>
    <row r="838">
      <c r="A838" s="10" t="s">
        <v>4250</v>
      </c>
      <c r="B838" s="25" t="s">
        <v>4251</v>
      </c>
      <c r="C838" s="12" t="s">
        <v>1671</v>
      </c>
      <c r="D838" s="12" t="s">
        <v>1672</v>
      </c>
      <c r="E838" s="23" t="str">
        <f>IFERROR(__xludf.DUMMYFUNCTION("REGEXEXTRACT(TO_TEXT(A838), ""(\d{2}/\d{2}/\d{4})"")"),"07/02/2023")</f>
        <v>07/02/2023</v>
      </c>
      <c r="F838" s="26">
        <f t="shared" si="1"/>
        <v>44964</v>
      </c>
    </row>
    <row r="839">
      <c r="A839" s="11" t="s">
        <v>4252</v>
      </c>
      <c r="B839" s="25" t="s">
        <v>4253</v>
      </c>
      <c r="C839" s="11" t="s">
        <v>1673</v>
      </c>
      <c r="D839" s="11" t="s">
        <v>1674</v>
      </c>
      <c r="E839" s="23" t="str">
        <f>IFERROR(__xludf.DUMMYFUNCTION("REGEXEXTRACT(TO_TEXT(A839), ""(\d{2}/\d{2}/\d{4})"")"),"09/02/2023")</f>
        <v>09/02/2023</v>
      </c>
      <c r="F839" s="26">
        <f t="shared" si="1"/>
        <v>44966</v>
      </c>
    </row>
    <row r="840">
      <c r="A840" s="10" t="s">
        <v>4254</v>
      </c>
      <c r="B840" s="25" t="s">
        <v>4255</v>
      </c>
      <c r="C840" s="10" t="s">
        <v>1675</v>
      </c>
      <c r="D840" s="10" t="s">
        <v>1676</v>
      </c>
      <c r="E840" s="23" t="str">
        <f>IFERROR(__xludf.DUMMYFUNCTION("REGEXEXTRACT(TO_TEXT(A840), ""(\d{2}/\d{2}/\d{4})"")"),"11/02/2023")</f>
        <v>11/02/2023</v>
      </c>
      <c r="F840" s="26">
        <f t="shared" si="1"/>
        <v>44968</v>
      </c>
    </row>
    <row r="841">
      <c r="A841" s="11" t="s">
        <v>4256</v>
      </c>
      <c r="B841" s="25" t="s">
        <v>4257</v>
      </c>
      <c r="C841" s="11" t="s">
        <v>1677</v>
      </c>
      <c r="D841" s="13" t="s">
        <v>1678</v>
      </c>
      <c r="E841" s="23" t="str">
        <f>IFERROR(__xludf.DUMMYFUNCTION("REGEXEXTRACT(TO_TEXT(A841), ""(\d{2}/\d{2}/\d{4})"")"),"14/02/2023")</f>
        <v>14/02/2023</v>
      </c>
      <c r="F841" s="26">
        <f t="shared" si="1"/>
        <v>44971</v>
      </c>
    </row>
    <row r="842">
      <c r="A842" s="10" t="s">
        <v>4258</v>
      </c>
      <c r="B842" s="25" t="s">
        <v>4259</v>
      </c>
      <c r="C842" s="10" t="s">
        <v>1679</v>
      </c>
      <c r="D842" s="10" t="s">
        <v>1680</v>
      </c>
      <c r="E842" s="23" t="str">
        <f>IFERROR(__xludf.DUMMYFUNCTION("REGEXEXTRACT(TO_TEXT(A842), ""(\d{2}/\d{2}/\d{4})"")"),"16/02/2023")</f>
        <v>16/02/2023</v>
      </c>
      <c r="F842" s="26">
        <f t="shared" si="1"/>
        <v>44973</v>
      </c>
    </row>
    <row r="843">
      <c r="A843" s="11" t="s">
        <v>4260</v>
      </c>
      <c r="B843" s="25" t="s">
        <v>4261</v>
      </c>
      <c r="C843" s="11" t="s">
        <v>1681</v>
      </c>
      <c r="D843" s="11" t="s">
        <v>1682</v>
      </c>
      <c r="E843" s="23" t="str">
        <f>IFERROR(__xludf.DUMMYFUNCTION("REGEXEXTRACT(TO_TEXT(A843), ""(\d{2}/\d{2}/\d{4})"")"),"18/02/2023")</f>
        <v>18/02/2023</v>
      </c>
      <c r="F843" s="26">
        <f t="shared" si="1"/>
        <v>44975</v>
      </c>
    </row>
    <row r="844">
      <c r="A844" s="10" t="s">
        <v>4262</v>
      </c>
      <c r="B844" s="25" t="s">
        <v>4263</v>
      </c>
      <c r="C844" s="10" t="s">
        <v>1683</v>
      </c>
      <c r="D844" s="10" t="s">
        <v>1684</v>
      </c>
      <c r="E844" s="23" t="str">
        <f>IFERROR(__xludf.DUMMYFUNCTION("REGEXEXTRACT(TO_TEXT(A844), ""(\d{2}/\d{2}/\d{4})"")"),"21/02/2023")</f>
        <v>21/02/2023</v>
      </c>
      <c r="F844" s="26">
        <f t="shared" si="1"/>
        <v>44978</v>
      </c>
    </row>
    <row r="845">
      <c r="A845" s="11" t="s">
        <v>4264</v>
      </c>
      <c r="B845" s="25" t="s">
        <v>4265</v>
      </c>
      <c r="C845" s="11" t="s">
        <v>1685</v>
      </c>
      <c r="D845" s="11" t="s">
        <v>1686</v>
      </c>
      <c r="E845" s="23" t="str">
        <f>IFERROR(__xludf.DUMMYFUNCTION("REGEXEXTRACT(TO_TEXT(A845), ""(\d{2}/\d{2}/\d{4})"")"),"23/02/2023")</f>
        <v>23/02/2023</v>
      </c>
      <c r="F845" s="26">
        <f t="shared" si="1"/>
        <v>44980</v>
      </c>
    </row>
    <row r="846">
      <c r="A846" s="10" t="s">
        <v>4266</v>
      </c>
      <c r="B846" s="25" t="s">
        <v>4267</v>
      </c>
      <c r="C846" s="10" t="s">
        <v>1687</v>
      </c>
      <c r="D846" s="10" t="s">
        <v>1688</v>
      </c>
      <c r="E846" s="23" t="str">
        <f>IFERROR(__xludf.DUMMYFUNCTION("REGEXEXTRACT(TO_TEXT(A846), ""(\d{2}/\d{2}/\d{4})"")"),"25/02/2023")</f>
        <v>25/02/2023</v>
      </c>
      <c r="F846" s="26">
        <f t="shared" si="1"/>
        <v>44982</v>
      </c>
    </row>
    <row r="847">
      <c r="A847" s="11" t="s">
        <v>4268</v>
      </c>
      <c r="B847" s="25" t="s">
        <v>4269</v>
      </c>
      <c r="C847" s="11" t="s">
        <v>1689</v>
      </c>
      <c r="D847" s="13" t="s">
        <v>1690</v>
      </c>
      <c r="E847" s="23" t="str">
        <f>IFERROR(__xludf.DUMMYFUNCTION("REGEXEXTRACT(TO_TEXT(A847), ""(\d{2}/\d{2}/\d{4})"")"),"28/02/2023")</f>
        <v>28/02/2023</v>
      </c>
      <c r="F847" s="26">
        <f t="shared" si="1"/>
        <v>44985</v>
      </c>
    </row>
    <row r="848">
      <c r="A848" s="10" t="s">
        <v>4270</v>
      </c>
      <c r="B848" s="25" t="s">
        <v>4271</v>
      </c>
      <c r="C848" s="10" t="s">
        <v>1691</v>
      </c>
      <c r="D848" s="10" t="s">
        <v>1692</v>
      </c>
      <c r="E848" s="23" t="str">
        <f>IFERROR(__xludf.DUMMYFUNCTION("REGEXEXTRACT(TO_TEXT(A848), ""(\d{2}/\d{2}/\d{4})"")"),"02/03/2023")</f>
        <v>02/03/2023</v>
      </c>
      <c r="F848" s="26">
        <f t="shared" si="1"/>
        <v>44987</v>
      </c>
    </row>
    <row r="849">
      <c r="A849" s="11" t="s">
        <v>4272</v>
      </c>
      <c r="B849" s="25" t="s">
        <v>4273</v>
      </c>
      <c r="C849" s="11" t="s">
        <v>1693</v>
      </c>
      <c r="D849" s="11" t="s">
        <v>1694</v>
      </c>
      <c r="E849" s="23" t="str">
        <f>IFERROR(__xludf.DUMMYFUNCTION("REGEXEXTRACT(TO_TEXT(A849), ""(\d{2}/\d{2}/\d{4})"")"),"04/03/2023")</f>
        <v>04/03/2023</v>
      </c>
      <c r="F849" s="26">
        <f t="shared" si="1"/>
        <v>44989</v>
      </c>
    </row>
    <row r="850">
      <c r="A850" s="10" t="s">
        <v>4274</v>
      </c>
      <c r="B850" s="25" t="s">
        <v>4275</v>
      </c>
      <c r="C850" s="10" t="s">
        <v>1695</v>
      </c>
      <c r="D850" s="10" t="s">
        <v>1696</v>
      </c>
      <c r="E850" s="23" t="str">
        <f>IFERROR(__xludf.DUMMYFUNCTION("REGEXEXTRACT(TO_TEXT(A850), ""(\d{2}/\d{2}/\d{4})"")"),"07/03/2023")</f>
        <v>07/03/2023</v>
      </c>
      <c r="F850" s="26">
        <f t="shared" si="1"/>
        <v>44992</v>
      </c>
    </row>
    <row r="851">
      <c r="A851" s="11" t="s">
        <v>4276</v>
      </c>
      <c r="B851" s="25" t="s">
        <v>4277</v>
      </c>
      <c r="C851" s="11" t="s">
        <v>1697</v>
      </c>
      <c r="D851" s="11" t="s">
        <v>1698</v>
      </c>
      <c r="E851" s="23" t="str">
        <f>IFERROR(__xludf.DUMMYFUNCTION("REGEXEXTRACT(TO_TEXT(A851), ""(\d{2}/\d{2}/\d{4})"")"),"09/03/2023")</f>
        <v>09/03/2023</v>
      </c>
      <c r="F851" s="26">
        <f t="shared" si="1"/>
        <v>44994</v>
      </c>
    </row>
    <row r="852">
      <c r="A852" s="10" t="s">
        <v>4278</v>
      </c>
      <c r="B852" s="25" t="s">
        <v>4279</v>
      </c>
      <c r="C852" s="10" t="s">
        <v>1699</v>
      </c>
      <c r="D852" s="10" t="s">
        <v>1700</v>
      </c>
      <c r="E852" s="23" t="str">
        <f>IFERROR(__xludf.DUMMYFUNCTION("REGEXEXTRACT(TO_TEXT(A852), ""(\d{2}/\d{2}/\d{4})"")"),"11/03/2023")</f>
        <v>11/03/2023</v>
      </c>
      <c r="F852" s="26">
        <f t="shared" si="1"/>
        <v>44996</v>
      </c>
    </row>
    <row r="853">
      <c r="A853" s="11" t="s">
        <v>4280</v>
      </c>
      <c r="B853" s="25" t="s">
        <v>4281</v>
      </c>
      <c r="C853" s="11" t="s">
        <v>1701</v>
      </c>
      <c r="D853" s="11" t="s">
        <v>1702</v>
      </c>
      <c r="E853" s="23" t="str">
        <f>IFERROR(__xludf.DUMMYFUNCTION("REGEXEXTRACT(TO_TEXT(A853), ""(\d{2}/\d{2}/\d{4})"")"),"14/03/2023")</f>
        <v>14/03/2023</v>
      </c>
      <c r="F853" s="26">
        <f t="shared" si="1"/>
        <v>44999</v>
      </c>
    </row>
    <row r="854">
      <c r="A854" s="10" t="s">
        <v>4282</v>
      </c>
      <c r="B854" s="25" t="s">
        <v>4283</v>
      </c>
      <c r="C854" s="10" t="s">
        <v>1703</v>
      </c>
      <c r="D854" s="12" t="s">
        <v>1704</v>
      </c>
      <c r="E854" s="23" t="str">
        <f>IFERROR(__xludf.DUMMYFUNCTION("REGEXEXTRACT(TO_TEXT(A854), ""(\d{2}/\d{2}/\d{4})"")"),"16/03/2023")</f>
        <v>16/03/2023</v>
      </c>
      <c r="F854" s="26">
        <f t="shared" si="1"/>
        <v>45001</v>
      </c>
    </row>
    <row r="855">
      <c r="A855" s="11" t="s">
        <v>4284</v>
      </c>
      <c r="B855" s="25" t="s">
        <v>4285</v>
      </c>
      <c r="C855" s="11" t="s">
        <v>1705</v>
      </c>
      <c r="D855" s="13" t="s">
        <v>1706</v>
      </c>
      <c r="E855" s="23" t="str">
        <f>IFERROR(__xludf.DUMMYFUNCTION("REGEXEXTRACT(TO_TEXT(A855), ""(\d{2}/\d{2}/\d{4})"")"),"18/03/2023")</f>
        <v>18/03/2023</v>
      </c>
      <c r="F855" s="26">
        <f t="shared" si="1"/>
        <v>45003</v>
      </c>
    </row>
    <row r="856">
      <c r="A856" s="10" t="s">
        <v>4286</v>
      </c>
      <c r="B856" s="25" t="s">
        <v>4287</v>
      </c>
      <c r="C856" s="10" t="s">
        <v>1707</v>
      </c>
      <c r="D856" s="10" t="s">
        <v>1708</v>
      </c>
      <c r="E856" s="23" t="str">
        <f>IFERROR(__xludf.DUMMYFUNCTION("REGEXEXTRACT(TO_TEXT(A856), ""(\d{2}/\d{2}/\d{4})"")"),"21/03/2023")</f>
        <v>21/03/2023</v>
      </c>
      <c r="F856" s="26">
        <f t="shared" si="1"/>
        <v>45006</v>
      </c>
    </row>
    <row r="857">
      <c r="A857" s="11" t="s">
        <v>4288</v>
      </c>
      <c r="B857" s="25" t="s">
        <v>4289</v>
      </c>
      <c r="C857" s="13" t="s">
        <v>1709</v>
      </c>
      <c r="D857" s="11" t="s">
        <v>1710</v>
      </c>
      <c r="E857" s="23" t="str">
        <f>IFERROR(__xludf.DUMMYFUNCTION("REGEXEXTRACT(TO_TEXT(A857), ""(\d{2}/\d{2}/\d{4})"")"),"23/03/2023")</f>
        <v>23/03/2023</v>
      </c>
      <c r="F857" s="26">
        <f t="shared" si="1"/>
        <v>45008</v>
      </c>
    </row>
    <row r="858">
      <c r="A858" s="10" t="s">
        <v>4290</v>
      </c>
      <c r="B858" s="25" t="s">
        <v>4291</v>
      </c>
      <c r="C858" s="10" t="s">
        <v>1711</v>
      </c>
      <c r="D858" s="10" t="s">
        <v>1712</v>
      </c>
      <c r="E858" s="23" t="str">
        <f>IFERROR(__xludf.DUMMYFUNCTION("REGEXEXTRACT(TO_TEXT(A858), ""(\d{2}/\d{2}/\d{4})"")"),"25/03/2023")</f>
        <v>25/03/2023</v>
      </c>
      <c r="F858" s="26">
        <f t="shared" si="1"/>
        <v>45010</v>
      </c>
    </row>
    <row r="859">
      <c r="A859" s="11" t="s">
        <v>4292</v>
      </c>
      <c r="B859" s="25" t="s">
        <v>4293</v>
      </c>
      <c r="C859" s="11" t="s">
        <v>1713</v>
      </c>
      <c r="D859" s="11" t="s">
        <v>1714</v>
      </c>
      <c r="E859" s="23" t="str">
        <f>IFERROR(__xludf.DUMMYFUNCTION("REGEXEXTRACT(TO_TEXT(A859), ""(\d{2}/\d{2}/\d{4})"")"),"28/03/2023")</f>
        <v>28/03/2023</v>
      </c>
      <c r="F859" s="26">
        <f t="shared" si="1"/>
        <v>45013</v>
      </c>
    </row>
    <row r="860">
      <c r="A860" s="10" t="s">
        <v>4294</v>
      </c>
      <c r="B860" s="25" t="s">
        <v>4295</v>
      </c>
      <c r="C860" s="10" t="s">
        <v>1715</v>
      </c>
      <c r="D860" s="10" t="s">
        <v>1716</v>
      </c>
      <c r="E860" s="23" t="str">
        <f>IFERROR(__xludf.DUMMYFUNCTION("REGEXEXTRACT(TO_TEXT(A860), ""(\d{2}/\d{2}/\d{4})"")"),"30/03/2023")</f>
        <v>30/03/2023</v>
      </c>
      <c r="F860" s="26">
        <f t="shared" si="1"/>
        <v>45015</v>
      </c>
    </row>
    <row r="861">
      <c r="A861" s="11" t="s">
        <v>4296</v>
      </c>
      <c r="B861" s="25" t="s">
        <v>4297</v>
      </c>
      <c r="C861" s="11" t="s">
        <v>1717</v>
      </c>
      <c r="D861" s="11" t="s">
        <v>1718</v>
      </c>
      <c r="E861" s="23" t="str">
        <f>IFERROR(__xludf.DUMMYFUNCTION("REGEXEXTRACT(TO_TEXT(A861), ""(\d{2}/\d{2}/\d{4})"")"),"01/04/2023")</f>
        <v>01/04/2023</v>
      </c>
      <c r="F861" s="26">
        <f t="shared" si="1"/>
        <v>45017</v>
      </c>
    </row>
    <row r="862">
      <c r="A862" s="10" t="s">
        <v>4298</v>
      </c>
      <c r="B862" s="25" t="s">
        <v>4299</v>
      </c>
      <c r="C862" s="10" t="s">
        <v>1719</v>
      </c>
      <c r="D862" s="10" t="s">
        <v>1720</v>
      </c>
      <c r="E862" s="23" t="str">
        <f>IFERROR(__xludf.DUMMYFUNCTION("REGEXEXTRACT(TO_TEXT(A862), ""(\d{2}/\d{2}/\d{4})"")"),"04/04/2023")</f>
        <v>04/04/2023</v>
      </c>
      <c r="F862" s="26">
        <f t="shared" si="1"/>
        <v>45020</v>
      </c>
    </row>
    <row r="863">
      <c r="A863" s="11" t="s">
        <v>4300</v>
      </c>
      <c r="B863" s="25" t="s">
        <v>4301</v>
      </c>
      <c r="C863" s="11" t="s">
        <v>1721</v>
      </c>
      <c r="D863" s="11" t="s">
        <v>1722</v>
      </c>
      <c r="E863" s="23" t="str">
        <f>IFERROR(__xludf.DUMMYFUNCTION("REGEXEXTRACT(TO_TEXT(A863), ""(\d{2}/\d{2}/\d{4})"")"),"06/04/2023")</f>
        <v>06/04/2023</v>
      </c>
      <c r="F863" s="26">
        <f t="shared" si="1"/>
        <v>45022</v>
      </c>
    </row>
    <row r="864">
      <c r="A864" s="10" t="s">
        <v>4302</v>
      </c>
      <c r="B864" s="25" t="s">
        <v>4303</v>
      </c>
      <c r="C864" s="10" t="s">
        <v>1723</v>
      </c>
      <c r="D864" s="10" t="s">
        <v>1724</v>
      </c>
      <c r="E864" s="23" t="str">
        <f>IFERROR(__xludf.DUMMYFUNCTION("REGEXEXTRACT(TO_TEXT(A864), ""(\d{2}/\d{2}/\d{4})"")"),"08/04/2023")</f>
        <v>08/04/2023</v>
      </c>
      <c r="F864" s="26">
        <f t="shared" si="1"/>
        <v>45024</v>
      </c>
    </row>
    <row r="865">
      <c r="A865" s="11" t="s">
        <v>4304</v>
      </c>
      <c r="B865" s="25" t="s">
        <v>4305</v>
      </c>
      <c r="C865" s="11" t="s">
        <v>1725</v>
      </c>
      <c r="D865" s="11" t="s">
        <v>1726</v>
      </c>
      <c r="E865" s="23" t="str">
        <f>IFERROR(__xludf.DUMMYFUNCTION("REGEXEXTRACT(TO_TEXT(A865), ""(\d{2}/\d{2}/\d{4})"")"),"11/04/2023")</f>
        <v>11/04/2023</v>
      </c>
      <c r="F865" s="26">
        <f t="shared" si="1"/>
        <v>45027</v>
      </c>
    </row>
    <row r="866">
      <c r="A866" s="10" t="s">
        <v>4306</v>
      </c>
      <c r="B866" s="25" t="s">
        <v>4307</v>
      </c>
      <c r="C866" s="10" t="s">
        <v>1727</v>
      </c>
      <c r="D866" s="12" t="s">
        <v>1728</v>
      </c>
      <c r="E866" s="23" t="str">
        <f>IFERROR(__xludf.DUMMYFUNCTION("REGEXEXTRACT(TO_TEXT(A866), ""(\d{2}/\d{2}/\d{4})"")"),"13/04/2023")</f>
        <v>13/04/2023</v>
      </c>
      <c r="F866" s="26">
        <f t="shared" si="1"/>
        <v>45029</v>
      </c>
    </row>
    <row r="867">
      <c r="A867" s="11" t="s">
        <v>4308</v>
      </c>
      <c r="B867" s="25" t="s">
        <v>4309</v>
      </c>
      <c r="C867" s="11" t="s">
        <v>1729</v>
      </c>
      <c r="D867" s="11" t="s">
        <v>1730</v>
      </c>
      <c r="E867" s="23" t="str">
        <f>IFERROR(__xludf.DUMMYFUNCTION("REGEXEXTRACT(TO_TEXT(A867), ""(\d{2}/\d{2}/\d{4})"")"),"15/04/2023")</f>
        <v>15/04/2023</v>
      </c>
      <c r="F867" s="26">
        <f t="shared" si="1"/>
        <v>45031</v>
      </c>
    </row>
    <row r="868">
      <c r="A868" s="10" t="s">
        <v>4310</v>
      </c>
      <c r="B868" s="25" t="s">
        <v>4311</v>
      </c>
      <c r="C868" s="10" t="s">
        <v>1731</v>
      </c>
      <c r="D868" s="12" t="s">
        <v>1732</v>
      </c>
      <c r="E868" s="23" t="str">
        <f>IFERROR(__xludf.DUMMYFUNCTION("REGEXEXTRACT(TO_TEXT(A868), ""(\d{2}/\d{2}/\d{4})"")"),"18/04/2023")</f>
        <v>18/04/2023</v>
      </c>
      <c r="F868" s="26">
        <f t="shared" si="1"/>
        <v>45034</v>
      </c>
    </row>
    <row r="869">
      <c r="A869" s="11" t="s">
        <v>4312</v>
      </c>
      <c r="B869" s="25" t="s">
        <v>4313</v>
      </c>
      <c r="C869" s="11" t="s">
        <v>1733</v>
      </c>
      <c r="D869" s="11" t="s">
        <v>1734</v>
      </c>
      <c r="E869" s="23" t="str">
        <f>IFERROR(__xludf.DUMMYFUNCTION("REGEXEXTRACT(TO_TEXT(A869), ""(\d{2}/\d{2}/\d{4})"")"),"20/04/2023")</f>
        <v>20/04/2023</v>
      </c>
      <c r="F869" s="26">
        <f t="shared" si="1"/>
        <v>45036</v>
      </c>
    </row>
    <row r="870">
      <c r="A870" s="10" t="s">
        <v>4314</v>
      </c>
      <c r="B870" s="25" t="s">
        <v>4315</v>
      </c>
      <c r="C870" s="10" t="s">
        <v>1735</v>
      </c>
      <c r="D870" s="12" t="s">
        <v>1736</v>
      </c>
      <c r="E870" s="23" t="str">
        <f>IFERROR(__xludf.DUMMYFUNCTION("REGEXEXTRACT(TO_TEXT(A870), ""(\d{2}/\d{2}/\d{4})"")"),"22/04/2023")</f>
        <v>22/04/2023</v>
      </c>
      <c r="F870" s="26">
        <f t="shared" si="1"/>
        <v>45038</v>
      </c>
    </row>
    <row r="871">
      <c r="A871" s="11" t="s">
        <v>4316</v>
      </c>
      <c r="B871" s="25" t="s">
        <v>4317</v>
      </c>
      <c r="C871" s="11" t="s">
        <v>1737</v>
      </c>
      <c r="D871" s="11" t="s">
        <v>1738</v>
      </c>
      <c r="E871" s="23" t="str">
        <f>IFERROR(__xludf.DUMMYFUNCTION("REGEXEXTRACT(TO_TEXT(A871), ""(\d{2}/\d{2}/\d{4})"")"),"25/04/2023")</f>
        <v>25/04/2023</v>
      </c>
      <c r="F871" s="26">
        <f t="shared" si="1"/>
        <v>45041</v>
      </c>
    </row>
    <row r="872">
      <c r="A872" s="10" t="s">
        <v>4318</v>
      </c>
      <c r="B872" s="25" t="s">
        <v>4319</v>
      </c>
      <c r="C872" s="10" t="s">
        <v>1739</v>
      </c>
      <c r="D872" s="12" t="s">
        <v>1740</v>
      </c>
      <c r="E872" s="23" t="str">
        <f>IFERROR(__xludf.DUMMYFUNCTION("REGEXEXTRACT(TO_TEXT(A872), ""(\d{2}/\d{2}/\d{4})"")"),"27/04/2023")</f>
        <v>27/04/2023</v>
      </c>
      <c r="F872" s="26">
        <f t="shared" si="1"/>
        <v>45043</v>
      </c>
    </row>
    <row r="873">
      <c r="A873" s="11" t="s">
        <v>4320</v>
      </c>
      <c r="B873" s="25" t="s">
        <v>4321</v>
      </c>
      <c r="C873" s="11" t="s">
        <v>1741</v>
      </c>
      <c r="D873" s="13" t="s">
        <v>1742</v>
      </c>
      <c r="E873" s="23" t="str">
        <f>IFERROR(__xludf.DUMMYFUNCTION("REGEXEXTRACT(TO_TEXT(A873), ""(\d{2}/\d{2}/\d{4})"")"),"29/04/2023")</f>
        <v>29/04/2023</v>
      </c>
      <c r="F873" s="26">
        <f t="shared" si="1"/>
        <v>45045</v>
      </c>
    </row>
    <row r="874">
      <c r="A874" s="10" t="s">
        <v>4322</v>
      </c>
      <c r="B874" s="25" t="s">
        <v>4323</v>
      </c>
      <c r="C874" s="10" t="s">
        <v>1743</v>
      </c>
      <c r="D874" s="10" t="s">
        <v>1744</v>
      </c>
      <c r="E874" s="23" t="str">
        <f>IFERROR(__xludf.DUMMYFUNCTION("REGEXEXTRACT(TO_TEXT(A874), ""(\d{2}/\d{2}/\d{4})"")"),"02/05/2023")</f>
        <v>02/05/2023</v>
      </c>
      <c r="F874" s="26">
        <f t="shared" si="1"/>
        <v>45048</v>
      </c>
    </row>
    <row r="875">
      <c r="A875" s="11" t="s">
        <v>4324</v>
      </c>
      <c r="B875" s="25" t="s">
        <v>4325</v>
      </c>
      <c r="C875" s="11" t="s">
        <v>1745</v>
      </c>
      <c r="D875" s="13" t="s">
        <v>1746</v>
      </c>
      <c r="E875" s="23" t="str">
        <f>IFERROR(__xludf.DUMMYFUNCTION("REGEXEXTRACT(TO_TEXT(A875), ""(\d{2}/\d{2}/\d{4})"")"),"04/05/2023")</f>
        <v>04/05/2023</v>
      </c>
      <c r="F875" s="26">
        <f t="shared" si="1"/>
        <v>45050</v>
      </c>
    </row>
    <row r="876">
      <c r="A876" s="10" t="s">
        <v>4326</v>
      </c>
      <c r="B876" s="25" t="s">
        <v>4327</v>
      </c>
      <c r="C876" s="10" t="s">
        <v>1747</v>
      </c>
      <c r="D876" s="10" t="s">
        <v>1748</v>
      </c>
      <c r="E876" s="23" t="str">
        <f>IFERROR(__xludf.DUMMYFUNCTION("REGEXEXTRACT(TO_TEXT(A876), ""(\d{2}/\d{2}/\d{4})"")"),"06/05/2023")</f>
        <v>06/05/2023</v>
      </c>
      <c r="F876" s="26">
        <f t="shared" si="1"/>
        <v>45052</v>
      </c>
    </row>
    <row r="877">
      <c r="A877" s="11" t="s">
        <v>4328</v>
      </c>
      <c r="B877" s="25" t="s">
        <v>4329</v>
      </c>
      <c r="C877" s="11" t="s">
        <v>1749</v>
      </c>
      <c r="D877" s="11" t="s">
        <v>1750</v>
      </c>
      <c r="E877" s="23" t="str">
        <f>IFERROR(__xludf.DUMMYFUNCTION("REGEXEXTRACT(TO_TEXT(A877), ""(\d{2}/\d{2}/\d{4})"")"),"09/05/2023")</f>
        <v>09/05/2023</v>
      </c>
      <c r="F877" s="26">
        <f t="shared" si="1"/>
        <v>45055</v>
      </c>
    </row>
    <row r="878">
      <c r="A878" s="10" t="s">
        <v>4330</v>
      </c>
      <c r="B878" s="25" t="s">
        <v>4331</v>
      </c>
      <c r="C878" s="10" t="s">
        <v>1751</v>
      </c>
      <c r="D878" s="10" t="s">
        <v>1752</v>
      </c>
      <c r="E878" s="23" t="str">
        <f>IFERROR(__xludf.DUMMYFUNCTION("REGEXEXTRACT(TO_TEXT(A878), ""(\d{2}/\d{2}/\d{4})"")"),"11/05/2023")</f>
        <v>11/05/2023</v>
      </c>
      <c r="F878" s="26">
        <f t="shared" si="1"/>
        <v>45057</v>
      </c>
    </row>
    <row r="879">
      <c r="A879" s="11" t="s">
        <v>4332</v>
      </c>
      <c r="B879" s="25" t="s">
        <v>4333</v>
      </c>
      <c r="C879" s="13" t="s">
        <v>1753</v>
      </c>
      <c r="D879" s="11" t="s">
        <v>1754</v>
      </c>
      <c r="E879" s="23" t="str">
        <f>IFERROR(__xludf.DUMMYFUNCTION("REGEXEXTRACT(TO_TEXT(A879), ""(\d{2}/\d{2}/\d{4})"")"),"13/05/2023")</f>
        <v>13/05/2023</v>
      </c>
      <c r="F879" s="26">
        <f t="shared" si="1"/>
        <v>45059</v>
      </c>
    </row>
    <row r="880">
      <c r="A880" s="10" t="s">
        <v>4334</v>
      </c>
      <c r="B880" s="25" t="s">
        <v>4335</v>
      </c>
      <c r="C880" s="10" t="s">
        <v>1755</v>
      </c>
      <c r="D880" s="10" t="s">
        <v>1756</v>
      </c>
      <c r="E880" s="23" t="str">
        <f>IFERROR(__xludf.DUMMYFUNCTION("REGEXEXTRACT(TO_TEXT(A880), ""(\d{2}/\d{2}/\d{4})"")"),"16/05/2023")</f>
        <v>16/05/2023</v>
      </c>
      <c r="F880" s="26">
        <f t="shared" si="1"/>
        <v>45062</v>
      </c>
    </row>
    <row r="881">
      <c r="A881" s="11" t="s">
        <v>4336</v>
      </c>
      <c r="B881" s="25" t="s">
        <v>4337</v>
      </c>
      <c r="C881" s="11" t="s">
        <v>1757</v>
      </c>
      <c r="D881" s="11" t="s">
        <v>1758</v>
      </c>
      <c r="E881" s="23" t="str">
        <f>IFERROR(__xludf.DUMMYFUNCTION("REGEXEXTRACT(TO_TEXT(A881), ""(\d{2}/\d{2}/\d{4})"")"),"18/05/2023")</f>
        <v>18/05/2023</v>
      </c>
      <c r="F881" s="26">
        <f t="shared" si="1"/>
        <v>45064</v>
      </c>
    </row>
    <row r="882">
      <c r="A882" s="10" t="s">
        <v>4338</v>
      </c>
      <c r="B882" s="25" t="s">
        <v>4339</v>
      </c>
      <c r="C882" s="10" t="s">
        <v>1759</v>
      </c>
      <c r="D882" s="12" t="s">
        <v>1760</v>
      </c>
      <c r="E882" s="23" t="str">
        <f>IFERROR(__xludf.DUMMYFUNCTION("REGEXEXTRACT(TO_TEXT(A882), ""(\d{2}/\d{2}/\d{4})"")"),"20/05/2023")</f>
        <v>20/05/2023</v>
      </c>
      <c r="F882" s="26">
        <f t="shared" si="1"/>
        <v>45066</v>
      </c>
    </row>
    <row r="883">
      <c r="A883" s="11" t="s">
        <v>4340</v>
      </c>
      <c r="B883" s="25" t="s">
        <v>4341</v>
      </c>
      <c r="C883" s="11" t="s">
        <v>1761</v>
      </c>
      <c r="D883" s="11" t="s">
        <v>1762</v>
      </c>
      <c r="E883" s="23" t="str">
        <f>IFERROR(__xludf.DUMMYFUNCTION("REGEXEXTRACT(TO_TEXT(A883), ""(\d{2}/\d{2}/\d{4})"")"),"23/05/2023")</f>
        <v>23/05/2023</v>
      </c>
      <c r="F883" s="26">
        <f t="shared" si="1"/>
        <v>45069</v>
      </c>
    </row>
    <row r="884">
      <c r="A884" s="10" t="s">
        <v>4342</v>
      </c>
      <c r="B884" s="25" t="s">
        <v>4343</v>
      </c>
      <c r="C884" s="10" t="s">
        <v>1763</v>
      </c>
      <c r="D884" s="10" t="s">
        <v>1764</v>
      </c>
      <c r="E884" s="23" t="str">
        <f>IFERROR(__xludf.DUMMYFUNCTION("REGEXEXTRACT(TO_TEXT(A884), ""(\d{2}/\d{2}/\d{4})"")"),"25/05/2023")</f>
        <v>25/05/2023</v>
      </c>
      <c r="F884" s="26">
        <f t="shared" si="1"/>
        <v>45071</v>
      </c>
    </row>
    <row r="885">
      <c r="A885" s="11" t="s">
        <v>4344</v>
      </c>
      <c r="B885" s="25" t="s">
        <v>4345</v>
      </c>
      <c r="C885" s="11" t="s">
        <v>1765</v>
      </c>
      <c r="D885" s="11" t="s">
        <v>1766</v>
      </c>
      <c r="E885" s="23" t="str">
        <f>IFERROR(__xludf.DUMMYFUNCTION("REGEXEXTRACT(TO_TEXT(A885), ""(\d{2}/\d{2}/\d{4})"")"),"27/05/2023")</f>
        <v>27/05/2023</v>
      </c>
      <c r="F885" s="26">
        <f t="shared" si="1"/>
        <v>45073</v>
      </c>
    </row>
    <row r="886">
      <c r="A886" s="10" t="s">
        <v>4346</v>
      </c>
      <c r="B886" s="25" t="s">
        <v>4347</v>
      </c>
      <c r="C886" s="10" t="s">
        <v>1767</v>
      </c>
      <c r="D886" s="10" t="s">
        <v>1768</v>
      </c>
      <c r="E886" s="23" t="str">
        <f>IFERROR(__xludf.DUMMYFUNCTION("REGEXEXTRACT(TO_TEXT(A886), ""(\d{2}/\d{2}/\d{4})"")"),"30/05/2023")</f>
        <v>30/05/2023</v>
      </c>
      <c r="F886" s="26">
        <f t="shared" si="1"/>
        <v>45076</v>
      </c>
    </row>
    <row r="887">
      <c r="A887" s="11" t="s">
        <v>4348</v>
      </c>
      <c r="B887" s="25" t="s">
        <v>4349</v>
      </c>
      <c r="C887" s="11" t="s">
        <v>1769</v>
      </c>
      <c r="D887" s="11" t="s">
        <v>1770</v>
      </c>
      <c r="E887" s="23" t="str">
        <f>IFERROR(__xludf.DUMMYFUNCTION("REGEXEXTRACT(TO_TEXT(A887), ""(\d{2}/\d{2}/\d{4})"")"),"01/06/2023")</f>
        <v>01/06/2023</v>
      </c>
      <c r="F887" s="26">
        <f t="shared" si="1"/>
        <v>45078</v>
      </c>
    </row>
    <row r="888">
      <c r="A888" s="10" t="s">
        <v>4350</v>
      </c>
      <c r="B888" s="25" t="s">
        <v>4351</v>
      </c>
      <c r="C888" s="10" t="s">
        <v>1771</v>
      </c>
      <c r="D888" s="10" t="s">
        <v>1772</v>
      </c>
      <c r="E888" s="23" t="str">
        <f>IFERROR(__xludf.DUMMYFUNCTION("REGEXEXTRACT(TO_TEXT(A888), ""(\d{2}/\d{2}/\d{4})"")"),"03/06/2023")</f>
        <v>03/06/2023</v>
      </c>
      <c r="F888" s="26">
        <f t="shared" si="1"/>
        <v>45080</v>
      </c>
    </row>
    <row r="889">
      <c r="A889" s="11" t="s">
        <v>4352</v>
      </c>
      <c r="B889" s="25" t="s">
        <v>4353</v>
      </c>
      <c r="C889" s="11" t="s">
        <v>1773</v>
      </c>
      <c r="D889" s="11" t="s">
        <v>1774</v>
      </c>
      <c r="E889" s="23" t="str">
        <f>IFERROR(__xludf.DUMMYFUNCTION("REGEXEXTRACT(TO_TEXT(A889), ""(\d{2}/\d{2}/\d{4})"")"),"06/06/2023")</f>
        <v>06/06/2023</v>
      </c>
      <c r="F889" s="26">
        <f t="shared" si="1"/>
        <v>45083</v>
      </c>
    </row>
    <row r="890">
      <c r="A890" s="10" t="s">
        <v>4354</v>
      </c>
      <c r="B890" s="25" t="s">
        <v>4355</v>
      </c>
      <c r="C890" s="10" t="s">
        <v>1775</v>
      </c>
      <c r="D890" s="10" t="s">
        <v>1776</v>
      </c>
      <c r="E890" s="23" t="str">
        <f>IFERROR(__xludf.DUMMYFUNCTION("REGEXEXTRACT(TO_TEXT(A890), ""(\d{2}/\d{2}/\d{4})"")"),"08/06/2023")</f>
        <v>08/06/2023</v>
      </c>
      <c r="F890" s="26">
        <f t="shared" si="1"/>
        <v>45085</v>
      </c>
    </row>
    <row r="891">
      <c r="A891" s="11" t="s">
        <v>4356</v>
      </c>
      <c r="B891" s="25" t="s">
        <v>4357</v>
      </c>
      <c r="C891" s="11" t="s">
        <v>1777</v>
      </c>
      <c r="D891" s="11" t="s">
        <v>1778</v>
      </c>
      <c r="E891" s="23" t="str">
        <f>IFERROR(__xludf.DUMMYFUNCTION("REGEXEXTRACT(TO_TEXT(A891), ""(\d{2}/\d{2}/\d{4})"")"),"10/06/2023")</f>
        <v>10/06/2023</v>
      </c>
      <c r="F891" s="26">
        <f t="shared" si="1"/>
        <v>45087</v>
      </c>
    </row>
    <row r="892">
      <c r="A892" s="10" t="s">
        <v>4358</v>
      </c>
      <c r="B892" s="25" t="s">
        <v>4359</v>
      </c>
      <c r="C892" s="10" t="s">
        <v>1779</v>
      </c>
      <c r="D892" s="10" t="s">
        <v>1780</v>
      </c>
      <c r="E892" s="23" t="str">
        <f>IFERROR(__xludf.DUMMYFUNCTION("REGEXEXTRACT(TO_TEXT(A892), ""(\d{2}/\d{2}/\d{4})"")"),"13/06/2023")</f>
        <v>13/06/2023</v>
      </c>
      <c r="F892" s="26">
        <f t="shared" si="1"/>
        <v>45090</v>
      </c>
    </row>
    <row r="893">
      <c r="A893" s="11" t="s">
        <v>4360</v>
      </c>
      <c r="B893" s="25" t="s">
        <v>4361</v>
      </c>
      <c r="C893" s="11" t="s">
        <v>1781</v>
      </c>
      <c r="D893" s="13" t="s">
        <v>1782</v>
      </c>
      <c r="E893" s="23" t="str">
        <f>IFERROR(__xludf.DUMMYFUNCTION("REGEXEXTRACT(TO_TEXT(A893), ""(\d{2}/\d{2}/\d{4})"")"),"15/06/2023")</f>
        <v>15/06/2023</v>
      </c>
      <c r="F893" s="26">
        <f t="shared" si="1"/>
        <v>45092</v>
      </c>
    </row>
    <row r="894">
      <c r="A894" s="10" t="s">
        <v>4362</v>
      </c>
      <c r="B894" s="25" t="s">
        <v>4363</v>
      </c>
      <c r="C894" s="10" t="s">
        <v>1783</v>
      </c>
      <c r="D894" s="12" t="s">
        <v>1784</v>
      </c>
      <c r="E894" s="23" t="str">
        <f>IFERROR(__xludf.DUMMYFUNCTION("REGEXEXTRACT(TO_TEXT(A894), ""(\d{2}/\d{2}/\d{4})"")"),"17/06/2023")</f>
        <v>17/06/2023</v>
      </c>
      <c r="F894" s="26">
        <f t="shared" si="1"/>
        <v>45094</v>
      </c>
    </row>
    <row r="895">
      <c r="A895" s="11" t="s">
        <v>4364</v>
      </c>
      <c r="B895" s="25" t="s">
        <v>4365</v>
      </c>
      <c r="C895" s="11" t="s">
        <v>1785</v>
      </c>
      <c r="D895" s="11" t="s">
        <v>1786</v>
      </c>
      <c r="E895" s="23" t="str">
        <f>IFERROR(__xludf.DUMMYFUNCTION("REGEXEXTRACT(TO_TEXT(A895), ""(\d{2}/\d{2}/\d{4})"")"),"20/06/2023")</f>
        <v>20/06/2023</v>
      </c>
      <c r="F895" s="26">
        <f t="shared" si="1"/>
        <v>45097</v>
      </c>
    </row>
    <row r="896">
      <c r="A896" s="10" t="s">
        <v>4366</v>
      </c>
      <c r="B896" s="25" t="s">
        <v>4367</v>
      </c>
      <c r="C896" s="10" t="s">
        <v>1787</v>
      </c>
      <c r="D896" s="10" t="s">
        <v>1788</v>
      </c>
      <c r="E896" s="23" t="str">
        <f>IFERROR(__xludf.DUMMYFUNCTION("REGEXEXTRACT(TO_TEXT(A896), ""(\d{2}/\d{2}/\d{4})"")"),"22/06/2023")</f>
        <v>22/06/2023</v>
      </c>
      <c r="F896" s="26">
        <f t="shared" si="1"/>
        <v>45099</v>
      </c>
    </row>
    <row r="897">
      <c r="A897" s="11" t="s">
        <v>4368</v>
      </c>
      <c r="B897" s="25" t="s">
        <v>4369</v>
      </c>
      <c r="C897" s="11" t="s">
        <v>1789</v>
      </c>
      <c r="D897" s="13" t="s">
        <v>1790</v>
      </c>
      <c r="E897" s="23" t="str">
        <f>IFERROR(__xludf.DUMMYFUNCTION("REGEXEXTRACT(TO_TEXT(A897), ""(\d{2}/\d{2}/\d{4})"")"),"24/06/2023")</f>
        <v>24/06/2023</v>
      </c>
      <c r="F897" s="26">
        <f t="shared" si="1"/>
        <v>45101</v>
      </c>
    </row>
    <row r="898">
      <c r="A898" s="10" t="s">
        <v>4370</v>
      </c>
      <c r="B898" s="25" t="s">
        <v>4371</v>
      </c>
      <c r="C898" s="10" t="s">
        <v>1791</v>
      </c>
      <c r="D898" s="10" t="s">
        <v>1792</v>
      </c>
      <c r="E898" s="23" t="str">
        <f>IFERROR(__xludf.DUMMYFUNCTION("REGEXEXTRACT(TO_TEXT(A898), ""(\d{2}/\d{2}/\d{4})"")"),"27/06/2023")</f>
        <v>27/06/2023</v>
      </c>
      <c r="F898" s="26">
        <f t="shared" si="1"/>
        <v>45104</v>
      </c>
    </row>
    <row r="899">
      <c r="A899" s="11" t="s">
        <v>4372</v>
      </c>
      <c r="B899" s="25" t="s">
        <v>4373</v>
      </c>
      <c r="C899" s="11" t="s">
        <v>1793</v>
      </c>
      <c r="D899" s="11" t="s">
        <v>1794</v>
      </c>
      <c r="E899" s="23" t="str">
        <f>IFERROR(__xludf.DUMMYFUNCTION("REGEXEXTRACT(TO_TEXT(A899), ""(\d{2}/\d{2}/\d{4})"")"),"29/06/2023")</f>
        <v>29/06/2023</v>
      </c>
      <c r="F899" s="26">
        <f t="shared" si="1"/>
        <v>45106</v>
      </c>
    </row>
    <row r="900">
      <c r="A900" s="10" t="s">
        <v>4374</v>
      </c>
      <c r="B900" s="25" t="s">
        <v>4375</v>
      </c>
      <c r="C900" s="10" t="s">
        <v>1795</v>
      </c>
      <c r="D900" s="12" t="s">
        <v>1796</v>
      </c>
      <c r="E900" s="23" t="str">
        <f>IFERROR(__xludf.DUMMYFUNCTION("REGEXEXTRACT(TO_TEXT(A900), ""(\d{2}/\d{2}/\d{4})"")"),"01/07/2023")</f>
        <v>01/07/2023</v>
      </c>
      <c r="F900" s="26">
        <f t="shared" si="1"/>
        <v>45108</v>
      </c>
    </row>
    <row r="901">
      <c r="A901" s="11" t="s">
        <v>4376</v>
      </c>
      <c r="B901" s="25" t="s">
        <v>4377</v>
      </c>
      <c r="C901" s="11" t="s">
        <v>1797</v>
      </c>
      <c r="D901" s="11" t="s">
        <v>1798</v>
      </c>
      <c r="E901" s="23" t="str">
        <f>IFERROR(__xludf.DUMMYFUNCTION("REGEXEXTRACT(TO_TEXT(A901), ""(\d{2}/\d{2}/\d{4})"")"),"04/07/2023")</f>
        <v>04/07/2023</v>
      </c>
      <c r="F901" s="26">
        <f t="shared" si="1"/>
        <v>45111</v>
      </c>
    </row>
    <row r="902">
      <c r="A902" s="10" t="s">
        <v>4378</v>
      </c>
      <c r="B902" s="25" t="s">
        <v>4379</v>
      </c>
      <c r="C902" s="10" t="s">
        <v>1799</v>
      </c>
      <c r="D902" s="10" t="s">
        <v>1800</v>
      </c>
      <c r="E902" s="23" t="str">
        <f>IFERROR(__xludf.DUMMYFUNCTION("REGEXEXTRACT(TO_TEXT(A902), ""(\d{2}/\d{2}/\d{4})"")"),"06/07/2023")</f>
        <v>06/07/2023</v>
      </c>
      <c r="F902" s="26">
        <f t="shared" si="1"/>
        <v>45113</v>
      </c>
    </row>
    <row r="903">
      <c r="A903" s="11" t="s">
        <v>4380</v>
      </c>
      <c r="B903" s="25" t="s">
        <v>4381</v>
      </c>
      <c r="C903" s="11" t="s">
        <v>1801</v>
      </c>
      <c r="D903" s="11" t="s">
        <v>1802</v>
      </c>
      <c r="E903" s="23" t="str">
        <f>IFERROR(__xludf.DUMMYFUNCTION("REGEXEXTRACT(TO_TEXT(A903), ""(\d{2}/\d{2}/\d{4})"")"),"08/07/2023")</f>
        <v>08/07/2023</v>
      </c>
      <c r="F903" s="26">
        <f t="shared" si="1"/>
        <v>45115</v>
      </c>
    </row>
    <row r="904">
      <c r="A904" s="10" t="s">
        <v>4382</v>
      </c>
      <c r="B904" s="25" t="s">
        <v>4383</v>
      </c>
      <c r="C904" s="10" t="s">
        <v>1803</v>
      </c>
      <c r="D904" s="12" t="s">
        <v>1804</v>
      </c>
      <c r="E904" s="23" t="str">
        <f>IFERROR(__xludf.DUMMYFUNCTION("REGEXEXTRACT(TO_TEXT(A904), ""(\d{2}/\d{2}/\d{4})"")"),"11/07/2023")</f>
        <v>11/07/2023</v>
      </c>
      <c r="F904" s="26">
        <f t="shared" si="1"/>
        <v>45118</v>
      </c>
    </row>
    <row r="905">
      <c r="A905" s="11" t="s">
        <v>4384</v>
      </c>
      <c r="B905" s="25" t="s">
        <v>4385</v>
      </c>
      <c r="C905" s="11" t="s">
        <v>1805</v>
      </c>
      <c r="D905" s="11" t="s">
        <v>1806</v>
      </c>
      <c r="E905" s="23" t="str">
        <f>IFERROR(__xludf.DUMMYFUNCTION("REGEXEXTRACT(TO_TEXT(A905), ""(\d{2}/\d{2}/\d{4})"")"),"13/07/2023")</f>
        <v>13/07/2023</v>
      </c>
      <c r="F905" s="26">
        <f t="shared" si="1"/>
        <v>45120</v>
      </c>
    </row>
    <row r="906">
      <c r="A906" s="10" t="s">
        <v>4386</v>
      </c>
      <c r="B906" s="25" t="s">
        <v>4387</v>
      </c>
      <c r="C906" s="10" t="s">
        <v>1807</v>
      </c>
      <c r="D906" s="10" t="s">
        <v>1808</v>
      </c>
      <c r="E906" s="23" t="str">
        <f>IFERROR(__xludf.DUMMYFUNCTION("REGEXEXTRACT(TO_TEXT(A906), ""(\d{2}/\d{2}/\d{4})"")"),"15/07/2023")</f>
        <v>15/07/2023</v>
      </c>
      <c r="F906" s="26">
        <f t="shared" si="1"/>
        <v>45122</v>
      </c>
    </row>
    <row r="907">
      <c r="A907" s="11" t="s">
        <v>4388</v>
      </c>
      <c r="B907" s="25" t="s">
        <v>4389</v>
      </c>
      <c r="C907" s="11" t="s">
        <v>1809</v>
      </c>
      <c r="D907" s="11" t="s">
        <v>1810</v>
      </c>
      <c r="E907" s="23" t="str">
        <f>IFERROR(__xludf.DUMMYFUNCTION("REGEXEXTRACT(TO_TEXT(A907), ""(\d{2}/\d{2}/\d{4})"")"),"18/07/2023")</f>
        <v>18/07/2023</v>
      </c>
      <c r="F907" s="26">
        <f t="shared" si="1"/>
        <v>45125</v>
      </c>
    </row>
    <row r="908">
      <c r="A908" s="10" t="s">
        <v>4390</v>
      </c>
      <c r="B908" s="25" t="s">
        <v>4391</v>
      </c>
      <c r="C908" s="10" t="s">
        <v>1811</v>
      </c>
      <c r="D908" s="10" t="s">
        <v>1812</v>
      </c>
      <c r="E908" s="23" t="str">
        <f>IFERROR(__xludf.DUMMYFUNCTION("REGEXEXTRACT(TO_TEXT(A908), ""(\d{2}/\d{2}/\d{4})"")"),"20/07/2023")</f>
        <v>20/07/2023</v>
      </c>
      <c r="F908" s="26">
        <f t="shared" si="1"/>
        <v>45127</v>
      </c>
    </row>
    <row r="909">
      <c r="A909" s="11" t="s">
        <v>4392</v>
      </c>
      <c r="B909" s="25" t="s">
        <v>4393</v>
      </c>
      <c r="C909" s="11" t="s">
        <v>1813</v>
      </c>
      <c r="D909" s="11" t="s">
        <v>1814</v>
      </c>
      <c r="E909" s="23" t="str">
        <f>IFERROR(__xludf.DUMMYFUNCTION("REGEXEXTRACT(TO_TEXT(A909), ""(\d{2}/\d{2}/\d{4})"")"),"22/07/2023")</f>
        <v>22/07/2023</v>
      </c>
      <c r="F909" s="26">
        <f t="shared" si="1"/>
        <v>45129</v>
      </c>
    </row>
    <row r="910">
      <c r="A910" s="10" t="s">
        <v>4394</v>
      </c>
      <c r="B910" s="25" t="s">
        <v>4395</v>
      </c>
      <c r="C910" s="10" t="s">
        <v>1815</v>
      </c>
      <c r="D910" s="12" t="s">
        <v>1816</v>
      </c>
      <c r="E910" s="23" t="str">
        <f>IFERROR(__xludf.DUMMYFUNCTION("REGEXEXTRACT(TO_TEXT(A910), ""(\d{2}/\d{2}/\d{4})"")"),"25/07/2023")</f>
        <v>25/07/2023</v>
      </c>
      <c r="F910" s="26">
        <f t="shared" si="1"/>
        <v>45132</v>
      </c>
    </row>
    <row r="911">
      <c r="A911" s="11" t="s">
        <v>4396</v>
      </c>
      <c r="B911" s="25" t="s">
        <v>4397</v>
      </c>
      <c r="C911" s="11" t="s">
        <v>1817</v>
      </c>
      <c r="D911" s="13" t="s">
        <v>1818</v>
      </c>
      <c r="E911" s="23" t="str">
        <f>IFERROR(__xludf.DUMMYFUNCTION("REGEXEXTRACT(TO_TEXT(A911), ""(\d{2}/\d{2}/\d{4})"")"),"27/07/2023")</f>
        <v>27/07/2023</v>
      </c>
      <c r="F911" s="26">
        <f t="shared" si="1"/>
        <v>45134</v>
      </c>
    </row>
    <row r="912">
      <c r="A912" s="10" t="s">
        <v>4398</v>
      </c>
      <c r="B912" s="25" t="s">
        <v>4399</v>
      </c>
      <c r="C912" s="10" t="s">
        <v>1819</v>
      </c>
      <c r="D912" s="12" t="s">
        <v>1820</v>
      </c>
      <c r="E912" s="23" t="str">
        <f>IFERROR(__xludf.DUMMYFUNCTION("REGEXEXTRACT(TO_TEXT(A912), ""(\d{2}/\d{2}/\d{4})"")"),"29/07/2023")</f>
        <v>29/07/2023</v>
      </c>
      <c r="F912" s="26">
        <f t="shared" si="1"/>
        <v>45136</v>
      </c>
    </row>
    <row r="913">
      <c r="A913" s="11" t="s">
        <v>4400</v>
      </c>
      <c r="B913" s="25" t="s">
        <v>4401</v>
      </c>
      <c r="C913" s="11" t="s">
        <v>1821</v>
      </c>
      <c r="D913" s="11" t="s">
        <v>1822</v>
      </c>
      <c r="E913" s="23" t="str">
        <f>IFERROR(__xludf.DUMMYFUNCTION("REGEXEXTRACT(TO_TEXT(A913), ""(\d{2}/\d{2}/\d{4})"")"),"01/08/2023")</f>
        <v>01/08/2023</v>
      </c>
      <c r="F913" s="26">
        <f t="shared" si="1"/>
        <v>45139</v>
      </c>
    </row>
    <row r="914">
      <c r="A914" s="10" t="s">
        <v>4402</v>
      </c>
      <c r="B914" s="25" t="s">
        <v>4403</v>
      </c>
      <c r="C914" s="10" t="s">
        <v>1823</v>
      </c>
      <c r="D914" s="10" t="s">
        <v>1824</v>
      </c>
      <c r="E914" s="23" t="str">
        <f>IFERROR(__xludf.DUMMYFUNCTION("REGEXEXTRACT(TO_TEXT(A914), ""(\d{2}/\d{2}/\d{4})"")"),"03/08/2023")</f>
        <v>03/08/2023</v>
      </c>
      <c r="F914" s="26">
        <f t="shared" si="1"/>
        <v>45141</v>
      </c>
    </row>
    <row r="915">
      <c r="A915" s="11" t="s">
        <v>4404</v>
      </c>
      <c r="B915" s="25" t="s">
        <v>4405</v>
      </c>
      <c r="C915" s="11" t="s">
        <v>1825</v>
      </c>
      <c r="D915" s="11" t="s">
        <v>1826</v>
      </c>
      <c r="E915" s="23" t="str">
        <f>IFERROR(__xludf.DUMMYFUNCTION("REGEXEXTRACT(TO_TEXT(A915), ""(\d{2}/\d{2}/\d{4})"")"),"05/08/2023")</f>
        <v>05/08/2023</v>
      </c>
      <c r="F915" s="26">
        <f t="shared" si="1"/>
        <v>45143</v>
      </c>
    </row>
    <row r="916">
      <c r="A916" s="10" t="s">
        <v>4406</v>
      </c>
      <c r="B916" s="25" t="s">
        <v>4407</v>
      </c>
      <c r="C916" s="10" t="s">
        <v>1827</v>
      </c>
      <c r="D916" s="10" t="s">
        <v>1828</v>
      </c>
      <c r="E916" s="23" t="str">
        <f>IFERROR(__xludf.DUMMYFUNCTION("REGEXEXTRACT(TO_TEXT(A916), ""(\d{2}/\d{2}/\d{4})"")"),"08/08/2023")</f>
        <v>08/08/2023</v>
      </c>
      <c r="F916" s="26">
        <f t="shared" si="1"/>
        <v>45146</v>
      </c>
    </row>
    <row r="917">
      <c r="A917" s="11" t="s">
        <v>4408</v>
      </c>
      <c r="B917" s="25" t="s">
        <v>4409</v>
      </c>
      <c r="C917" s="11" t="s">
        <v>1829</v>
      </c>
      <c r="D917" s="11" t="s">
        <v>1830</v>
      </c>
      <c r="E917" s="23" t="str">
        <f>IFERROR(__xludf.DUMMYFUNCTION("REGEXEXTRACT(TO_TEXT(A917), ""(\d{2}/\d{2}/\d{4})"")"),"10/08/2023")</f>
        <v>10/08/2023</v>
      </c>
      <c r="F917" s="26">
        <f t="shared" si="1"/>
        <v>45148</v>
      </c>
    </row>
    <row r="918">
      <c r="A918" s="10" t="s">
        <v>4410</v>
      </c>
      <c r="B918" s="25" t="s">
        <v>4411</v>
      </c>
      <c r="C918" s="12" t="s">
        <v>1831</v>
      </c>
      <c r="D918" s="10" t="s">
        <v>1832</v>
      </c>
      <c r="E918" s="23" t="str">
        <f>IFERROR(__xludf.DUMMYFUNCTION("REGEXEXTRACT(TO_TEXT(A918), ""(\d{2}/\d{2}/\d{4})"")"),"12/08/2023")</f>
        <v>12/08/2023</v>
      </c>
      <c r="F918" s="26">
        <f t="shared" si="1"/>
        <v>45150</v>
      </c>
    </row>
    <row r="919">
      <c r="A919" s="11" t="s">
        <v>4412</v>
      </c>
      <c r="B919" s="25" t="s">
        <v>4413</v>
      </c>
      <c r="C919" s="11" t="s">
        <v>1833</v>
      </c>
      <c r="D919" s="11" t="s">
        <v>1834</v>
      </c>
      <c r="E919" s="23" t="str">
        <f>IFERROR(__xludf.DUMMYFUNCTION("REGEXEXTRACT(TO_TEXT(A919), ""(\d{2}/\d{2}/\d{4})"")"),"15/08/2023")</f>
        <v>15/08/2023</v>
      </c>
      <c r="F919" s="26">
        <f t="shared" si="1"/>
        <v>45153</v>
      </c>
    </row>
    <row r="920">
      <c r="A920" s="10" t="s">
        <v>4414</v>
      </c>
      <c r="B920" s="25" t="s">
        <v>4415</v>
      </c>
      <c r="C920" s="10" t="s">
        <v>1835</v>
      </c>
      <c r="D920" s="10" t="s">
        <v>1836</v>
      </c>
      <c r="E920" s="23" t="str">
        <f>IFERROR(__xludf.DUMMYFUNCTION("REGEXEXTRACT(TO_TEXT(A920), ""(\d{2}/\d{2}/\d{4})"")"),"17/08/2023")</f>
        <v>17/08/2023</v>
      </c>
      <c r="F920" s="26">
        <f t="shared" si="1"/>
        <v>45155</v>
      </c>
    </row>
    <row r="921">
      <c r="A921" s="11" t="s">
        <v>4416</v>
      </c>
      <c r="B921" s="25" t="s">
        <v>4417</v>
      </c>
      <c r="C921" s="11" t="s">
        <v>1837</v>
      </c>
      <c r="D921" s="11" t="s">
        <v>1838</v>
      </c>
      <c r="E921" s="23" t="str">
        <f>IFERROR(__xludf.DUMMYFUNCTION("REGEXEXTRACT(TO_TEXT(A921), ""(\d{2}/\d{2}/\d{4})"")"),"19/08/2023")</f>
        <v>19/08/2023</v>
      </c>
      <c r="F921" s="26">
        <f t="shared" si="1"/>
        <v>45157</v>
      </c>
    </row>
    <row r="922">
      <c r="A922" s="10" t="s">
        <v>4418</v>
      </c>
      <c r="B922" s="25" t="s">
        <v>4419</v>
      </c>
      <c r="C922" s="10" t="s">
        <v>1839</v>
      </c>
      <c r="D922" s="10" t="s">
        <v>1840</v>
      </c>
      <c r="E922" s="23" t="str">
        <f>IFERROR(__xludf.DUMMYFUNCTION("REGEXEXTRACT(TO_TEXT(A922), ""(\d{2}/\d{2}/\d{4})"")"),"22/08/2023")</f>
        <v>22/08/2023</v>
      </c>
      <c r="F922" s="26">
        <f t="shared" si="1"/>
        <v>45160</v>
      </c>
    </row>
    <row r="923">
      <c r="A923" s="11" t="s">
        <v>4420</v>
      </c>
      <c r="B923" s="25" t="s">
        <v>4421</v>
      </c>
      <c r="C923" s="11" t="s">
        <v>1841</v>
      </c>
      <c r="D923" s="13" t="s">
        <v>1842</v>
      </c>
      <c r="E923" s="23" t="str">
        <f>IFERROR(__xludf.DUMMYFUNCTION("REGEXEXTRACT(TO_TEXT(A923), ""(\d{2}/\d{2}/\d{4})"")"),"24/08/2023")</f>
        <v>24/08/2023</v>
      </c>
      <c r="F923" s="26">
        <f t="shared" si="1"/>
        <v>45162</v>
      </c>
    </row>
    <row r="924">
      <c r="A924" s="10" t="s">
        <v>4422</v>
      </c>
      <c r="B924" s="25" t="s">
        <v>4423</v>
      </c>
      <c r="C924" s="10" t="s">
        <v>1843</v>
      </c>
      <c r="D924" s="10" t="s">
        <v>1844</v>
      </c>
      <c r="E924" s="23" t="str">
        <f>IFERROR(__xludf.DUMMYFUNCTION("REGEXEXTRACT(TO_TEXT(A924), ""(\d{2}/\d{2}/\d{4})"")"),"26/08/2023")</f>
        <v>26/08/2023</v>
      </c>
      <c r="F924" s="26">
        <f t="shared" si="1"/>
        <v>45164</v>
      </c>
    </row>
    <row r="925">
      <c r="A925" s="11" t="s">
        <v>4424</v>
      </c>
      <c r="B925" s="25" t="s">
        <v>4425</v>
      </c>
      <c r="C925" s="11" t="s">
        <v>1845</v>
      </c>
      <c r="D925" s="11" t="s">
        <v>1846</v>
      </c>
      <c r="E925" s="23" t="str">
        <f>IFERROR(__xludf.DUMMYFUNCTION("REGEXEXTRACT(TO_TEXT(A925), ""(\d{2}/\d{2}/\d{4})"")"),"29/08/2023")</f>
        <v>29/08/2023</v>
      </c>
      <c r="F925" s="26">
        <f t="shared" si="1"/>
        <v>45167</v>
      </c>
    </row>
    <row r="926">
      <c r="A926" s="10" t="s">
        <v>4426</v>
      </c>
      <c r="B926" s="25" t="s">
        <v>4427</v>
      </c>
      <c r="C926" s="10" t="s">
        <v>1847</v>
      </c>
      <c r="D926" s="10" t="s">
        <v>1848</v>
      </c>
      <c r="E926" s="23" t="str">
        <f>IFERROR(__xludf.DUMMYFUNCTION("REGEXEXTRACT(TO_TEXT(A926), ""(\d{2}/\d{2}/\d{4})"")"),"31/08/2023")</f>
        <v>31/08/2023</v>
      </c>
      <c r="F926" s="26">
        <f t="shared" si="1"/>
        <v>45169</v>
      </c>
    </row>
    <row r="927">
      <c r="A927" s="11" t="s">
        <v>4428</v>
      </c>
      <c r="B927" s="25" t="s">
        <v>4429</v>
      </c>
      <c r="C927" s="11" t="s">
        <v>1849</v>
      </c>
      <c r="D927" s="11" t="s">
        <v>1850</v>
      </c>
      <c r="E927" s="23" t="str">
        <f>IFERROR(__xludf.DUMMYFUNCTION("REGEXEXTRACT(TO_TEXT(A927), ""(\d{2}/\d{2}/\d{4})"")"),"02/09/2023")</f>
        <v>02/09/2023</v>
      </c>
      <c r="F927" s="26">
        <f t="shared" si="1"/>
        <v>45171</v>
      </c>
    </row>
    <row r="928">
      <c r="A928" s="10" t="s">
        <v>4430</v>
      </c>
      <c r="B928" s="25" t="s">
        <v>4431</v>
      </c>
      <c r="C928" s="10" t="s">
        <v>1851</v>
      </c>
      <c r="D928" s="10" t="s">
        <v>1852</v>
      </c>
      <c r="E928" s="23" t="str">
        <f>IFERROR(__xludf.DUMMYFUNCTION("REGEXEXTRACT(TO_TEXT(A928), ""(\d{2}/\d{2}/\d{4})"")"),"05/09/2023")</f>
        <v>05/09/2023</v>
      </c>
      <c r="F928" s="26">
        <f t="shared" si="1"/>
        <v>45174</v>
      </c>
    </row>
    <row r="929">
      <c r="A929" s="11" t="s">
        <v>4432</v>
      </c>
      <c r="B929" s="25" t="s">
        <v>4433</v>
      </c>
      <c r="C929" s="11" t="s">
        <v>1853</v>
      </c>
      <c r="D929" s="13" t="s">
        <v>1854</v>
      </c>
      <c r="E929" s="23" t="str">
        <f>IFERROR(__xludf.DUMMYFUNCTION("REGEXEXTRACT(TO_TEXT(A929), ""(\d{2}/\d{2}/\d{4})"")"),"07/09/2023")</f>
        <v>07/09/2023</v>
      </c>
      <c r="F929" s="26">
        <f t="shared" si="1"/>
        <v>45176</v>
      </c>
    </row>
    <row r="930">
      <c r="A930" s="10" t="s">
        <v>4434</v>
      </c>
      <c r="B930" s="25" t="s">
        <v>4435</v>
      </c>
      <c r="C930" s="10" t="s">
        <v>1855</v>
      </c>
      <c r="D930" s="10" t="s">
        <v>1856</v>
      </c>
      <c r="E930" s="23" t="str">
        <f>IFERROR(__xludf.DUMMYFUNCTION("REGEXEXTRACT(TO_TEXT(A930), ""(\d{2}/\d{2}/\d{4})"")"),"09/09/2023")</f>
        <v>09/09/2023</v>
      </c>
      <c r="F930" s="26">
        <f t="shared" si="1"/>
        <v>45178</v>
      </c>
    </row>
    <row r="931">
      <c r="A931" s="11" t="s">
        <v>4436</v>
      </c>
      <c r="B931" s="25" t="s">
        <v>4437</v>
      </c>
      <c r="C931" s="11" t="s">
        <v>1857</v>
      </c>
      <c r="D931" s="11" t="s">
        <v>1858</v>
      </c>
      <c r="E931" s="23" t="str">
        <f>IFERROR(__xludf.DUMMYFUNCTION("REGEXEXTRACT(TO_TEXT(A931), ""(\d{2}/\d{2}/\d{4})"")"),"12/09/2023")</f>
        <v>12/09/2023</v>
      </c>
      <c r="F931" s="26">
        <f t="shared" si="1"/>
        <v>45181</v>
      </c>
    </row>
    <row r="932">
      <c r="A932" s="10" t="s">
        <v>4438</v>
      </c>
      <c r="B932" s="25" t="s">
        <v>4439</v>
      </c>
      <c r="C932" s="10" t="s">
        <v>1859</v>
      </c>
      <c r="D932" s="10" t="s">
        <v>1860</v>
      </c>
      <c r="E932" s="23" t="str">
        <f>IFERROR(__xludf.DUMMYFUNCTION("REGEXEXTRACT(TO_TEXT(A932), ""(\d{2}/\d{2}/\d{4})"")"),"14/09/2023")</f>
        <v>14/09/2023</v>
      </c>
      <c r="F932" s="26">
        <f t="shared" si="1"/>
        <v>45183</v>
      </c>
    </row>
    <row r="933">
      <c r="A933" s="11" t="s">
        <v>4440</v>
      </c>
      <c r="B933" s="25" t="s">
        <v>4441</v>
      </c>
      <c r="C933" s="11" t="s">
        <v>1861</v>
      </c>
      <c r="D933" s="11" t="s">
        <v>1862</v>
      </c>
      <c r="E933" s="23" t="str">
        <f>IFERROR(__xludf.DUMMYFUNCTION("REGEXEXTRACT(TO_TEXT(A933), ""(\d{2}/\d{2}/\d{4})"")"),"16/09/2023")</f>
        <v>16/09/2023</v>
      </c>
      <c r="F933" s="26">
        <f t="shared" si="1"/>
        <v>45185</v>
      </c>
    </row>
    <row r="934">
      <c r="A934" s="10" t="s">
        <v>4442</v>
      </c>
      <c r="B934" s="25" t="s">
        <v>4443</v>
      </c>
      <c r="C934" s="10" t="s">
        <v>1863</v>
      </c>
      <c r="D934" s="10" t="s">
        <v>1864</v>
      </c>
      <c r="E934" s="23" t="str">
        <f>IFERROR(__xludf.DUMMYFUNCTION("REGEXEXTRACT(TO_TEXT(A934), ""(\d{2}/\d{2}/\d{4})"")"),"19/09/2023")</f>
        <v>19/09/2023</v>
      </c>
      <c r="F934" s="26">
        <f t="shared" si="1"/>
        <v>45188</v>
      </c>
    </row>
    <row r="935">
      <c r="A935" s="11" t="s">
        <v>4444</v>
      </c>
      <c r="B935" s="25" t="s">
        <v>4445</v>
      </c>
      <c r="C935" s="11" t="s">
        <v>1865</v>
      </c>
      <c r="D935" s="11" t="s">
        <v>1866</v>
      </c>
      <c r="E935" s="23" t="str">
        <f>IFERROR(__xludf.DUMMYFUNCTION("REGEXEXTRACT(TO_TEXT(A935), ""(\d{2}/\d{2}/\d{4})"")"),"21/09/2023")</f>
        <v>21/09/2023</v>
      </c>
      <c r="F935" s="26">
        <f t="shared" si="1"/>
        <v>45190</v>
      </c>
    </row>
    <row r="936">
      <c r="A936" s="10" t="s">
        <v>4446</v>
      </c>
      <c r="B936" s="25" t="s">
        <v>4447</v>
      </c>
      <c r="C936" s="10" t="s">
        <v>1867</v>
      </c>
      <c r="D936" s="10" t="s">
        <v>1868</v>
      </c>
      <c r="E936" s="23" t="str">
        <f>IFERROR(__xludf.DUMMYFUNCTION("REGEXEXTRACT(TO_TEXT(A936), ""(\d{2}/\d{2}/\d{4})"")"),"23/09/2023")</f>
        <v>23/09/2023</v>
      </c>
      <c r="F936" s="26">
        <f t="shared" si="1"/>
        <v>45192</v>
      </c>
    </row>
    <row r="937">
      <c r="A937" s="11" t="s">
        <v>4448</v>
      </c>
      <c r="B937" s="25" t="s">
        <v>4449</v>
      </c>
      <c r="C937" s="11" t="s">
        <v>1869</v>
      </c>
      <c r="D937" s="11" t="s">
        <v>1870</v>
      </c>
      <c r="E937" s="23" t="str">
        <f>IFERROR(__xludf.DUMMYFUNCTION("REGEXEXTRACT(TO_TEXT(A937), ""(\d{2}/\d{2}/\d{4})"")"),"26/09/2023")</f>
        <v>26/09/2023</v>
      </c>
      <c r="F937" s="26">
        <f t="shared" si="1"/>
        <v>45195</v>
      </c>
    </row>
    <row r="938">
      <c r="A938" s="10" t="s">
        <v>4450</v>
      </c>
      <c r="B938" s="25" t="s">
        <v>4451</v>
      </c>
      <c r="C938" s="10" t="s">
        <v>1871</v>
      </c>
      <c r="D938" s="10" t="s">
        <v>1872</v>
      </c>
      <c r="E938" s="23" t="str">
        <f>IFERROR(__xludf.DUMMYFUNCTION("REGEXEXTRACT(TO_TEXT(A938), ""(\d{2}/\d{2}/\d{4})"")"),"28/09/2023")</f>
        <v>28/09/2023</v>
      </c>
      <c r="F938" s="26">
        <f t="shared" si="1"/>
        <v>45197</v>
      </c>
    </row>
    <row r="939">
      <c r="A939" s="11" t="s">
        <v>4452</v>
      </c>
      <c r="B939" s="25" t="s">
        <v>4453</v>
      </c>
      <c r="C939" s="11" t="s">
        <v>1873</v>
      </c>
      <c r="D939" s="13" t="s">
        <v>1874</v>
      </c>
      <c r="E939" s="23" t="str">
        <f>IFERROR(__xludf.DUMMYFUNCTION("REGEXEXTRACT(TO_TEXT(A939), ""(\d{2}/\d{2}/\d{4})"")"),"30/09/2023")</f>
        <v>30/09/2023</v>
      </c>
      <c r="F939" s="26">
        <f t="shared" si="1"/>
        <v>45199</v>
      </c>
    </row>
    <row r="940">
      <c r="A940" s="10" t="s">
        <v>4454</v>
      </c>
      <c r="B940" s="25" t="s">
        <v>4455</v>
      </c>
      <c r="C940" s="10" t="s">
        <v>1875</v>
      </c>
      <c r="D940" s="10" t="s">
        <v>1876</v>
      </c>
      <c r="E940" s="23" t="str">
        <f>IFERROR(__xludf.DUMMYFUNCTION("REGEXEXTRACT(TO_TEXT(A940), ""(\d{2}/\d{2}/\d{4})"")"),"03/10/2023")</f>
        <v>03/10/2023</v>
      </c>
      <c r="F940" s="26">
        <f t="shared" si="1"/>
        <v>45202</v>
      </c>
    </row>
    <row r="941">
      <c r="A941" s="11" t="s">
        <v>4456</v>
      </c>
      <c r="B941" s="25" t="s">
        <v>4457</v>
      </c>
      <c r="C941" s="11" t="s">
        <v>1877</v>
      </c>
      <c r="D941" s="11" t="s">
        <v>1878</v>
      </c>
      <c r="E941" s="23" t="str">
        <f>IFERROR(__xludf.DUMMYFUNCTION("REGEXEXTRACT(TO_TEXT(A941), ""(\d{2}/\d{2}/\d{4})"")"),"05/10/2023")</f>
        <v>05/10/2023</v>
      </c>
      <c r="F941" s="26">
        <f t="shared" si="1"/>
        <v>45204</v>
      </c>
    </row>
    <row r="942">
      <c r="A942" s="10" t="s">
        <v>4458</v>
      </c>
      <c r="B942" s="25" t="s">
        <v>4459</v>
      </c>
      <c r="C942" s="10" t="s">
        <v>1879</v>
      </c>
      <c r="D942" s="12" t="s">
        <v>1880</v>
      </c>
      <c r="E942" s="23" t="str">
        <f>IFERROR(__xludf.DUMMYFUNCTION("REGEXEXTRACT(TO_TEXT(A942), ""(\d{2}/\d{2}/\d{4})"")"),"07/10/2023")</f>
        <v>07/10/2023</v>
      </c>
      <c r="F942" s="26">
        <f t="shared" si="1"/>
        <v>45206</v>
      </c>
    </row>
    <row r="943">
      <c r="A943" s="11" t="s">
        <v>4460</v>
      </c>
      <c r="B943" s="25" t="s">
        <v>4461</v>
      </c>
      <c r="C943" s="11" t="s">
        <v>1881</v>
      </c>
      <c r="D943" s="11" t="s">
        <v>1882</v>
      </c>
      <c r="E943" s="23" t="str">
        <f>IFERROR(__xludf.DUMMYFUNCTION("REGEXEXTRACT(TO_TEXT(A943), ""(\d{2}/\d{2}/\d{4})"")"),"10/10/2023")</f>
        <v>10/10/2023</v>
      </c>
      <c r="F943" s="26">
        <f t="shared" si="1"/>
        <v>45209</v>
      </c>
    </row>
    <row r="944">
      <c r="A944" s="10" t="s">
        <v>4462</v>
      </c>
      <c r="B944" s="25" t="s">
        <v>4463</v>
      </c>
      <c r="C944" s="10" t="s">
        <v>1883</v>
      </c>
      <c r="D944" s="10" t="s">
        <v>1884</v>
      </c>
      <c r="E944" s="23" t="str">
        <f>IFERROR(__xludf.DUMMYFUNCTION("REGEXEXTRACT(TO_TEXT(A944), ""(\d{2}/\d{2}/\d{4})"")"),"12/10/2023")</f>
        <v>12/10/2023</v>
      </c>
      <c r="F944" s="26">
        <f t="shared" si="1"/>
        <v>45211</v>
      </c>
    </row>
    <row r="945">
      <c r="A945" s="11" t="s">
        <v>4464</v>
      </c>
      <c r="B945" s="25" t="s">
        <v>4465</v>
      </c>
      <c r="C945" s="11" t="s">
        <v>1885</v>
      </c>
      <c r="D945" s="13" t="s">
        <v>1886</v>
      </c>
      <c r="E945" s="23" t="str">
        <f>IFERROR(__xludf.DUMMYFUNCTION("REGEXEXTRACT(TO_TEXT(A945), ""(\d{2}/\d{2}/\d{4})"")"),"14/10/2023")</f>
        <v>14/10/2023</v>
      </c>
      <c r="F945" s="26">
        <f t="shared" si="1"/>
        <v>45213</v>
      </c>
    </row>
    <row r="946">
      <c r="A946" s="10" t="s">
        <v>4466</v>
      </c>
      <c r="B946" s="25" t="s">
        <v>4467</v>
      </c>
      <c r="C946" s="10" t="s">
        <v>1887</v>
      </c>
      <c r="D946" s="10" t="s">
        <v>1888</v>
      </c>
      <c r="E946" s="23" t="str">
        <f>IFERROR(__xludf.DUMMYFUNCTION("REGEXEXTRACT(TO_TEXT(A946), ""(\d{2}/\d{2}/\d{4})"")"),"17/10/2023")</f>
        <v>17/10/2023</v>
      </c>
      <c r="F946" s="26">
        <f t="shared" si="1"/>
        <v>45216</v>
      </c>
    </row>
    <row r="947">
      <c r="A947" s="11" t="s">
        <v>4468</v>
      </c>
      <c r="B947" s="25" t="s">
        <v>4469</v>
      </c>
      <c r="C947" s="11" t="s">
        <v>1889</v>
      </c>
      <c r="D947" s="11" t="s">
        <v>1890</v>
      </c>
      <c r="E947" s="23" t="str">
        <f>IFERROR(__xludf.DUMMYFUNCTION("REGEXEXTRACT(TO_TEXT(A947), ""(\d{2}/\d{2}/\d{4})"")"),"19/10/2023")</f>
        <v>19/10/2023</v>
      </c>
      <c r="F947" s="26">
        <f t="shared" si="1"/>
        <v>45218</v>
      </c>
    </row>
    <row r="948">
      <c r="A948" s="10" t="s">
        <v>4470</v>
      </c>
      <c r="B948" s="25" t="s">
        <v>4471</v>
      </c>
      <c r="C948" s="10" t="s">
        <v>1891</v>
      </c>
      <c r="D948" s="10" t="s">
        <v>1892</v>
      </c>
      <c r="E948" s="23" t="str">
        <f>IFERROR(__xludf.DUMMYFUNCTION("REGEXEXTRACT(TO_TEXT(A948), ""(\d{2}/\d{2}/\d{4})"")"),"21/10/2023")</f>
        <v>21/10/2023</v>
      </c>
      <c r="F948" s="26">
        <f t="shared" si="1"/>
        <v>45220</v>
      </c>
    </row>
    <row r="949">
      <c r="A949" s="11" t="s">
        <v>4472</v>
      </c>
      <c r="B949" s="25" t="s">
        <v>4473</v>
      </c>
      <c r="C949" s="11" t="s">
        <v>1893</v>
      </c>
      <c r="D949" s="13" t="s">
        <v>1894</v>
      </c>
      <c r="E949" s="23" t="str">
        <f>IFERROR(__xludf.DUMMYFUNCTION("REGEXEXTRACT(TO_TEXT(A949), ""(\d{2}/\d{2}/\d{4})"")"),"24/10/2023")</f>
        <v>24/10/2023</v>
      </c>
      <c r="F949" s="26">
        <f t="shared" si="1"/>
        <v>45223</v>
      </c>
    </row>
    <row r="950">
      <c r="A950" s="10" t="s">
        <v>4474</v>
      </c>
      <c r="B950" s="25" t="s">
        <v>4475</v>
      </c>
      <c r="C950" s="10" t="s">
        <v>1895</v>
      </c>
      <c r="D950" s="10" t="s">
        <v>1896</v>
      </c>
      <c r="E950" s="23" t="str">
        <f>IFERROR(__xludf.DUMMYFUNCTION("REGEXEXTRACT(TO_TEXT(A950), ""(\d{2}/\d{2}/\d{4})"")"),"26/10/2023")</f>
        <v>26/10/2023</v>
      </c>
      <c r="F950" s="26">
        <f t="shared" si="1"/>
        <v>45225</v>
      </c>
    </row>
    <row r="951">
      <c r="A951" s="11" t="s">
        <v>4476</v>
      </c>
      <c r="B951" s="25" t="s">
        <v>4477</v>
      </c>
      <c r="C951" s="11" t="s">
        <v>1897</v>
      </c>
      <c r="D951" s="13" t="s">
        <v>1898</v>
      </c>
      <c r="E951" s="23" t="str">
        <f>IFERROR(__xludf.DUMMYFUNCTION("REGEXEXTRACT(TO_TEXT(A951), ""(\d{2}/\d{2}/\d{4})"")"),"28/10/2023")</f>
        <v>28/10/2023</v>
      </c>
      <c r="F951" s="26">
        <f t="shared" si="1"/>
        <v>45227</v>
      </c>
    </row>
    <row r="952">
      <c r="A952" s="10" t="s">
        <v>4478</v>
      </c>
      <c r="B952" s="25" t="s">
        <v>4479</v>
      </c>
      <c r="C952" s="12" t="s">
        <v>1899</v>
      </c>
      <c r="D952" s="12" t="s">
        <v>1900</v>
      </c>
      <c r="E952" s="23" t="str">
        <f>IFERROR(__xludf.DUMMYFUNCTION("REGEXEXTRACT(TO_TEXT(A952), ""(\d{2}/\d{2}/\d{4})"")"),"31/10/2023")</f>
        <v>31/10/2023</v>
      </c>
      <c r="F952" s="26">
        <f t="shared" si="1"/>
        <v>45230</v>
      </c>
    </row>
    <row r="953">
      <c r="A953" s="11" t="s">
        <v>4480</v>
      </c>
      <c r="B953" s="25" t="s">
        <v>4481</v>
      </c>
      <c r="C953" s="11" t="s">
        <v>1901</v>
      </c>
      <c r="D953" s="11" t="s">
        <v>1902</v>
      </c>
      <c r="E953" s="23" t="str">
        <f>IFERROR(__xludf.DUMMYFUNCTION("REGEXEXTRACT(TO_TEXT(A953), ""(\d{2}/\d{2}/\d{4})"")"),"02/11/2023")</f>
        <v>02/11/2023</v>
      </c>
      <c r="F953" s="26">
        <f t="shared" si="1"/>
        <v>45232</v>
      </c>
    </row>
    <row r="954">
      <c r="A954" s="10" t="s">
        <v>4482</v>
      </c>
      <c r="B954" s="25" t="s">
        <v>4483</v>
      </c>
      <c r="C954" s="10" t="s">
        <v>1903</v>
      </c>
      <c r="D954" s="10" t="s">
        <v>1904</v>
      </c>
      <c r="E954" s="23" t="str">
        <f>IFERROR(__xludf.DUMMYFUNCTION("REGEXEXTRACT(TO_TEXT(A954), ""(\d{2}/\d{2}/\d{4})"")"),"04/11/2023")</f>
        <v>04/11/2023</v>
      </c>
      <c r="F954" s="26">
        <f t="shared" si="1"/>
        <v>45234</v>
      </c>
    </row>
    <row r="955">
      <c r="A955" s="11" t="s">
        <v>4484</v>
      </c>
      <c r="B955" s="25" t="s">
        <v>4485</v>
      </c>
      <c r="C955" s="13" t="s">
        <v>1905</v>
      </c>
      <c r="D955" s="11" t="s">
        <v>1906</v>
      </c>
      <c r="E955" s="23" t="str">
        <f>IFERROR(__xludf.DUMMYFUNCTION("REGEXEXTRACT(TO_TEXT(A955), ""(\d{2}/\d{2}/\d{4})"")"),"07/11/2023")</f>
        <v>07/11/2023</v>
      </c>
      <c r="F955" s="26">
        <f t="shared" si="1"/>
        <v>45237</v>
      </c>
    </row>
    <row r="956">
      <c r="A956" s="10" t="s">
        <v>4486</v>
      </c>
      <c r="B956" s="25" t="s">
        <v>4487</v>
      </c>
      <c r="C956" s="10" t="s">
        <v>1907</v>
      </c>
      <c r="D956" s="10" t="s">
        <v>1908</v>
      </c>
      <c r="E956" s="23" t="str">
        <f>IFERROR(__xludf.DUMMYFUNCTION("REGEXEXTRACT(TO_TEXT(A956), ""(\d{2}/\d{2}/\d{4})"")"),"09/11/2023")</f>
        <v>09/11/2023</v>
      </c>
      <c r="F956" s="26">
        <f t="shared" si="1"/>
        <v>45239</v>
      </c>
    </row>
    <row r="957">
      <c r="A957" s="11" t="s">
        <v>4488</v>
      </c>
      <c r="B957" s="25" t="s">
        <v>4489</v>
      </c>
      <c r="C957" s="11" t="s">
        <v>1909</v>
      </c>
      <c r="D957" s="11" t="s">
        <v>1910</v>
      </c>
      <c r="E957" s="23" t="str">
        <f>IFERROR(__xludf.DUMMYFUNCTION("REGEXEXTRACT(TO_TEXT(A957), ""(\d{2}/\d{2}/\d{4})"")"),"11/11/2023")</f>
        <v>11/11/2023</v>
      </c>
      <c r="F957" s="26">
        <f t="shared" si="1"/>
        <v>45241</v>
      </c>
    </row>
    <row r="958">
      <c r="A958" s="10" t="s">
        <v>4490</v>
      </c>
      <c r="B958" s="25" t="s">
        <v>4491</v>
      </c>
      <c r="C958" s="10" t="s">
        <v>1911</v>
      </c>
      <c r="D958" s="10" t="s">
        <v>1912</v>
      </c>
      <c r="E958" s="23" t="str">
        <f>IFERROR(__xludf.DUMMYFUNCTION("REGEXEXTRACT(TO_TEXT(A958), ""(\d{2}/\d{2}/\d{4})"")"),"14/11/2023")</f>
        <v>14/11/2023</v>
      </c>
      <c r="F958" s="26">
        <f t="shared" si="1"/>
        <v>45244</v>
      </c>
    </row>
    <row r="959">
      <c r="A959" s="11" t="s">
        <v>4492</v>
      </c>
      <c r="B959" s="25" t="s">
        <v>4493</v>
      </c>
      <c r="C959" s="11" t="s">
        <v>1913</v>
      </c>
      <c r="D959" s="13" t="s">
        <v>1914</v>
      </c>
      <c r="E959" s="23" t="str">
        <f>IFERROR(__xludf.DUMMYFUNCTION("REGEXEXTRACT(TO_TEXT(A959), ""(\d{2}/\d{2}/\d{4})"")"),"16/11/2023")</f>
        <v>16/11/2023</v>
      </c>
      <c r="F959" s="26">
        <f t="shared" si="1"/>
        <v>45246</v>
      </c>
    </row>
    <row r="960">
      <c r="A960" s="10" t="s">
        <v>4494</v>
      </c>
      <c r="B960" s="25" t="s">
        <v>4495</v>
      </c>
      <c r="C960" s="10" t="s">
        <v>1915</v>
      </c>
      <c r="D960" s="12" t="s">
        <v>1916</v>
      </c>
      <c r="E960" s="23" t="str">
        <f>IFERROR(__xludf.DUMMYFUNCTION("REGEXEXTRACT(TO_TEXT(A960), ""(\d{2}/\d{2}/\d{4})"")"),"18/11/2023")</f>
        <v>18/11/2023</v>
      </c>
      <c r="F960" s="26">
        <f t="shared" si="1"/>
        <v>45248</v>
      </c>
    </row>
    <row r="961">
      <c r="A961" s="11" t="s">
        <v>4496</v>
      </c>
      <c r="B961" s="25" t="s">
        <v>4497</v>
      </c>
      <c r="C961" s="11" t="s">
        <v>1917</v>
      </c>
      <c r="D961" s="11" t="s">
        <v>1918</v>
      </c>
      <c r="E961" s="23" t="str">
        <f>IFERROR(__xludf.DUMMYFUNCTION("REGEXEXTRACT(TO_TEXT(A961), ""(\d{2}/\d{2}/\d{4})"")"),"21/11/2023")</f>
        <v>21/11/2023</v>
      </c>
      <c r="F961" s="26">
        <f t="shared" si="1"/>
        <v>45251</v>
      </c>
    </row>
    <row r="962">
      <c r="A962" s="10" t="s">
        <v>4498</v>
      </c>
      <c r="B962" s="25" t="s">
        <v>4499</v>
      </c>
      <c r="C962" s="10" t="s">
        <v>1919</v>
      </c>
      <c r="D962" s="10" t="s">
        <v>1920</v>
      </c>
      <c r="E962" s="23" t="str">
        <f>IFERROR(__xludf.DUMMYFUNCTION("REGEXEXTRACT(TO_TEXT(A962), ""(\d{2}/\d{2}/\d{4})"")"),"23/11/2023")</f>
        <v>23/11/2023</v>
      </c>
      <c r="F962" s="26">
        <f t="shared" si="1"/>
        <v>45253</v>
      </c>
    </row>
    <row r="963">
      <c r="A963" s="11" t="s">
        <v>4500</v>
      </c>
      <c r="B963" s="25" t="s">
        <v>4501</v>
      </c>
      <c r="C963" s="11" t="s">
        <v>1921</v>
      </c>
      <c r="D963" s="11" t="s">
        <v>1922</v>
      </c>
      <c r="E963" s="23" t="str">
        <f>IFERROR(__xludf.DUMMYFUNCTION("REGEXEXTRACT(TO_TEXT(A963), ""(\d{2}/\d{2}/\d{4})"")"),"25/11/2023")</f>
        <v>25/11/2023</v>
      </c>
      <c r="F963" s="26">
        <f t="shared" si="1"/>
        <v>45255</v>
      </c>
    </row>
    <row r="964">
      <c r="A964" s="10" t="s">
        <v>4502</v>
      </c>
      <c r="B964" s="25" t="s">
        <v>4503</v>
      </c>
      <c r="C964" s="10" t="s">
        <v>1923</v>
      </c>
      <c r="D964" s="10" t="s">
        <v>1924</v>
      </c>
      <c r="E964" s="23" t="str">
        <f>IFERROR(__xludf.DUMMYFUNCTION("REGEXEXTRACT(TO_TEXT(A964), ""(\d{2}/\d{2}/\d{4})"")"),"28/11/2023")</f>
        <v>28/11/2023</v>
      </c>
      <c r="F964" s="26">
        <f t="shared" si="1"/>
        <v>45258</v>
      </c>
    </row>
    <row r="965">
      <c r="A965" s="11" t="s">
        <v>4504</v>
      </c>
      <c r="B965" s="25" t="s">
        <v>4505</v>
      </c>
      <c r="C965" s="11" t="s">
        <v>1925</v>
      </c>
      <c r="D965" s="11" t="s">
        <v>1926</v>
      </c>
      <c r="E965" s="23" t="str">
        <f>IFERROR(__xludf.DUMMYFUNCTION("REGEXEXTRACT(TO_TEXT(A965), ""(\d{2}/\d{2}/\d{4})"")"),"30/11/2023")</f>
        <v>30/11/2023</v>
      </c>
      <c r="F965" s="26">
        <f t="shared" si="1"/>
        <v>45260</v>
      </c>
    </row>
    <row r="966">
      <c r="A966" s="10" t="s">
        <v>4506</v>
      </c>
      <c r="B966" s="25" t="s">
        <v>4507</v>
      </c>
      <c r="C966" s="10" t="s">
        <v>1927</v>
      </c>
      <c r="D966" s="10" t="s">
        <v>1928</v>
      </c>
      <c r="E966" s="23" t="str">
        <f>IFERROR(__xludf.DUMMYFUNCTION("REGEXEXTRACT(TO_TEXT(A966), ""(\d{2}/\d{2}/\d{4})"")"),"02/12/2023")</f>
        <v>02/12/2023</v>
      </c>
      <c r="F966" s="26">
        <f t="shared" si="1"/>
        <v>45262</v>
      </c>
    </row>
    <row r="967">
      <c r="A967" s="11" t="s">
        <v>4508</v>
      </c>
      <c r="B967" s="25" t="s">
        <v>4509</v>
      </c>
      <c r="C967" s="13" t="s">
        <v>1929</v>
      </c>
      <c r="D967" s="11" t="s">
        <v>1930</v>
      </c>
      <c r="E967" s="23" t="str">
        <f>IFERROR(__xludf.DUMMYFUNCTION("REGEXEXTRACT(TO_TEXT(A967), ""(\d{2}/\d{2}/\d{4})"")"),"05/12/2023")</f>
        <v>05/12/2023</v>
      </c>
      <c r="F967" s="26">
        <f t="shared" si="1"/>
        <v>45265</v>
      </c>
    </row>
    <row r="968">
      <c r="A968" s="10" t="s">
        <v>4510</v>
      </c>
      <c r="B968" s="25" t="s">
        <v>4511</v>
      </c>
      <c r="C968" s="10" t="s">
        <v>1931</v>
      </c>
      <c r="D968" s="10" t="s">
        <v>1932</v>
      </c>
      <c r="E968" s="23" t="str">
        <f>IFERROR(__xludf.DUMMYFUNCTION("REGEXEXTRACT(TO_TEXT(A968), ""(\d{2}/\d{2}/\d{4})"")"),"07/12/2023")</f>
        <v>07/12/2023</v>
      </c>
      <c r="F968" s="26">
        <f t="shared" si="1"/>
        <v>45267</v>
      </c>
    </row>
    <row r="969">
      <c r="A969" s="11" t="s">
        <v>4512</v>
      </c>
      <c r="B969" s="25" t="s">
        <v>4513</v>
      </c>
      <c r="C969" s="11" t="s">
        <v>1933</v>
      </c>
      <c r="D969" s="11" t="s">
        <v>1934</v>
      </c>
      <c r="E969" s="23" t="str">
        <f>IFERROR(__xludf.DUMMYFUNCTION("REGEXEXTRACT(TO_TEXT(A969), ""(\d{2}/\d{2}/\d{4})"")"),"09/12/2023")</f>
        <v>09/12/2023</v>
      </c>
      <c r="F969" s="26">
        <f t="shared" si="1"/>
        <v>45269</v>
      </c>
    </row>
    <row r="970">
      <c r="A970" s="10" t="s">
        <v>4514</v>
      </c>
      <c r="B970" s="25" t="s">
        <v>4515</v>
      </c>
      <c r="C970" s="10" t="s">
        <v>1935</v>
      </c>
      <c r="D970" s="12" t="s">
        <v>1936</v>
      </c>
      <c r="E970" s="23" t="str">
        <f>IFERROR(__xludf.DUMMYFUNCTION("REGEXEXTRACT(TO_TEXT(A970), ""(\d{2}/\d{2}/\d{4})"")"),"12/12/2023")</f>
        <v>12/12/2023</v>
      </c>
      <c r="F970" s="26">
        <f t="shared" si="1"/>
        <v>45272</v>
      </c>
    </row>
    <row r="971">
      <c r="A971" s="11" t="s">
        <v>4516</v>
      </c>
      <c r="B971" s="25" t="s">
        <v>4517</v>
      </c>
      <c r="C971" s="11" t="s">
        <v>1937</v>
      </c>
      <c r="D971" s="11" t="s">
        <v>1938</v>
      </c>
      <c r="E971" s="23" t="str">
        <f>IFERROR(__xludf.DUMMYFUNCTION("REGEXEXTRACT(TO_TEXT(A971), ""(\d{2}/\d{2}/\d{4})"")"),"14/12/2023")</f>
        <v>14/12/2023</v>
      </c>
      <c r="F971" s="26">
        <f t="shared" si="1"/>
        <v>45274</v>
      </c>
    </row>
    <row r="972">
      <c r="A972" s="10" t="s">
        <v>4518</v>
      </c>
      <c r="B972" s="25" t="s">
        <v>4519</v>
      </c>
      <c r="C972" s="10" t="s">
        <v>1939</v>
      </c>
      <c r="D972" s="10" t="s">
        <v>1940</v>
      </c>
      <c r="E972" s="23" t="str">
        <f>IFERROR(__xludf.DUMMYFUNCTION("REGEXEXTRACT(TO_TEXT(A972), ""(\d{2}/\d{2}/\d{4})"")"),"16/12/2023")</f>
        <v>16/12/2023</v>
      </c>
      <c r="F972" s="26">
        <f t="shared" si="1"/>
        <v>45276</v>
      </c>
    </row>
    <row r="973">
      <c r="A973" s="11" t="s">
        <v>4520</v>
      </c>
      <c r="B973" s="25" t="s">
        <v>4521</v>
      </c>
      <c r="C973" s="11" t="s">
        <v>1941</v>
      </c>
      <c r="D973" s="11" t="s">
        <v>1942</v>
      </c>
      <c r="E973" s="23" t="str">
        <f>IFERROR(__xludf.DUMMYFUNCTION("REGEXEXTRACT(TO_TEXT(A973), ""(\d{2}/\d{2}/\d{4})"")"),"19/12/2023")</f>
        <v>19/12/2023</v>
      </c>
      <c r="F973" s="26">
        <f t="shared" si="1"/>
        <v>45279</v>
      </c>
    </row>
    <row r="974">
      <c r="A974" s="10" t="s">
        <v>4522</v>
      </c>
      <c r="B974" s="25" t="s">
        <v>4523</v>
      </c>
      <c r="C974" s="10" t="s">
        <v>1943</v>
      </c>
      <c r="D974" s="10" t="s">
        <v>1944</v>
      </c>
      <c r="E974" s="23" t="str">
        <f>IFERROR(__xludf.DUMMYFUNCTION("REGEXEXTRACT(TO_TEXT(A974), ""(\d{2}/\d{2}/\d{4})"")"),"21/12/2023")</f>
        <v>21/12/2023</v>
      </c>
      <c r="F974" s="26">
        <f t="shared" si="1"/>
        <v>45281</v>
      </c>
    </row>
    <row r="975">
      <c r="A975" s="11" t="s">
        <v>4524</v>
      </c>
      <c r="B975" s="25" t="s">
        <v>4525</v>
      </c>
      <c r="C975" s="11" t="s">
        <v>1945</v>
      </c>
      <c r="D975" s="11" t="s">
        <v>1946</v>
      </c>
      <c r="E975" s="23" t="str">
        <f>IFERROR(__xludf.DUMMYFUNCTION("REGEXEXTRACT(TO_TEXT(A975), ""(\d{2}/\d{2}/\d{4})"")"),"23/12/2023")</f>
        <v>23/12/2023</v>
      </c>
      <c r="F975" s="26">
        <f t="shared" si="1"/>
        <v>45283</v>
      </c>
    </row>
    <row r="976">
      <c r="A976" s="10" t="s">
        <v>4526</v>
      </c>
      <c r="B976" s="25" t="s">
        <v>4527</v>
      </c>
      <c r="C976" s="10" t="s">
        <v>1947</v>
      </c>
      <c r="D976" s="10" t="s">
        <v>1948</v>
      </c>
      <c r="E976" s="23" t="str">
        <f>IFERROR(__xludf.DUMMYFUNCTION("REGEXEXTRACT(TO_TEXT(A976), ""(\d{2}/\d{2}/\d{4})"")"),"26/12/2023")</f>
        <v>26/12/2023</v>
      </c>
      <c r="F976" s="26">
        <f t="shared" si="1"/>
        <v>45286</v>
      </c>
    </row>
    <row r="977">
      <c r="A977" s="11" t="s">
        <v>4528</v>
      </c>
      <c r="B977" s="25" t="s">
        <v>4529</v>
      </c>
      <c r="C977" s="11" t="s">
        <v>1949</v>
      </c>
      <c r="D977" s="11" t="s">
        <v>1950</v>
      </c>
      <c r="E977" s="23" t="str">
        <f>IFERROR(__xludf.DUMMYFUNCTION("REGEXEXTRACT(TO_TEXT(A977), ""(\d{2}/\d{2}/\d{4})"")"),"28/12/2023")</f>
        <v>28/12/2023</v>
      </c>
      <c r="F977" s="26">
        <f t="shared" si="1"/>
        <v>45288</v>
      </c>
    </row>
    <row r="978">
      <c r="A978" s="10" t="s">
        <v>4530</v>
      </c>
      <c r="B978" s="25" t="s">
        <v>4531</v>
      </c>
      <c r="C978" s="10" t="s">
        <v>1951</v>
      </c>
      <c r="D978" s="12" t="s">
        <v>1952</v>
      </c>
      <c r="E978" s="23" t="str">
        <f>IFERROR(__xludf.DUMMYFUNCTION("REGEXEXTRACT(TO_TEXT(A978), ""(\d{2}/\d{2}/\d{4})"")"),"30/12/2023")</f>
        <v>30/12/2023</v>
      </c>
      <c r="F978" s="26">
        <f t="shared" si="1"/>
        <v>45290</v>
      </c>
    </row>
    <row r="979">
      <c r="A979" s="11" t="s">
        <v>4532</v>
      </c>
      <c r="B979" s="25" t="s">
        <v>4533</v>
      </c>
      <c r="C979" s="11" t="s">
        <v>1953</v>
      </c>
      <c r="D979" s="13" t="s">
        <v>1954</v>
      </c>
      <c r="E979" s="23" t="str">
        <f>IFERROR(__xludf.DUMMYFUNCTION("REGEXEXTRACT(TO_TEXT(A979), ""(\d{2}/\d{2}/\d{4})"")"),"02/01/2024")</f>
        <v>02/01/2024</v>
      </c>
      <c r="F979" s="26">
        <f t="shared" si="1"/>
        <v>45293</v>
      </c>
    </row>
    <row r="980">
      <c r="A980" s="10" t="s">
        <v>4534</v>
      </c>
      <c r="B980" s="25" t="s">
        <v>4535</v>
      </c>
      <c r="C980" s="10" t="s">
        <v>1955</v>
      </c>
      <c r="D980" s="10" t="s">
        <v>1956</v>
      </c>
      <c r="E980" s="23" t="str">
        <f>IFERROR(__xludf.DUMMYFUNCTION("REGEXEXTRACT(TO_TEXT(A980), ""(\d{2}/\d{2}/\d{4})"")"),"04/01/2024")</f>
        <v>04/01/2024</v>
      </c>
      <c r="F980" s="26">
        <f t="shared" si="1"/>
        <v>45295</v>
      </c>
    </row>
    <row r="981">
      <c r="A981" s="11" t="s">
        <v>4536</v>
      </c>
      <c r="B981" s="25" t="s">
        <v>4537</v>
      </c>
      <c r="C981" s="11" t="s">
        <v>1957</v>
      </c>
      <c r="D981" s="11" t="s">
        <v>1958</v>
      </c>
      <c r="E981" s="23" t="str">
        <f>IFERROR(__xludf.DUMMYFUNCTION("REGEXEXTRACT(TO_TEXT(A981), ""(\d{2}/\d{2}/\d{4})"")"),"06/01/2024")</f>
        <v>06/01/2024</v>
      </c>
      <c r="F981" s="26">
        <f t="shared" si="1"/>
        <v>45297</v>
      </c>
    </row>
    <row r="982">
      <c r="A982" s="10" t="s">
        <v>4538</v>
      </c>
      <c r="B982" s="25" t="s">
        <v>4539</v>
      </c>
      <c r="C982" s="10" t="s">
        <v>1959</v>
      </c>
      <c r="D982" s="10" t="s">
        <v>1960</v>
      </c>
      <c r="E982" s="23" t="str">
        <f>IFERROR(__xludf.DUMMYFUNCTION("REGEXEXTRACT(TO_TEXT(A982), ""(\d{2}/\d{2}/\d{4})"")"),"09/01/2024")</f>
        <v>09/01/2024</v>
      </c>
      <c r="F982" s="26">
        <f t="shared" si="1"/>
        <v>45300</v>
      </c>
    </row>
    <row r="983">
      <c r="A983" s="11" t="s">
        <v>4540</v>
      </c>
      <c r="B983" s="25" t="s">
        <v>4541</v>
      </c>
      <c r="C983" s="11" t="s">
        <v>1961</v>
      </c>
      <c r="D983" s="13" t="s">
        <v>1962</v>
      </c>
      <c r="E983" s="23" t="str">
        <f>IFERROR(__xludf.DUMMYFUNCTION("REGEXEXTRACT(TO_TEXT(A983), ""(\d{2}/\d{2}/\d{4})"")"),"11/01/2024")</f>
        <v>11/01/2024</v>
      </c>
      <c r="F983" s="26">
        <f t="shared" si="1"/>
        <v>45302</v>
      </c>
    </row>
    <row r="984">
      <c r="A984" s="10" t="s">
        <v>4542</v>
      </c>
      <c r="B984" s="25" t="s">
        <v>4543</v>
      </c>
      <c r="C984" s="10" t="s">
        <v>1963</v>
      </c>
      <c r="D984" s="12" t="s">
        <v>1964</v>
      </c>
      <c r="E984" s="23" t="str">
        <f>IFERROR(__xludf.DUMMYFUNCTION("REGEXEXTRACT(TO_TEXT(A984), ""(\d{2}/\d{2}/\d{4})"")"),"13/01/2024")</f>
        <v>13/01/2024</v>
      </c>
      <c r="F984" s="26">
        <f t="shared" si="1"/>
        <v>45304</v>
      </c>
    </row>
    <row r="985">
      <c r="A985" s="11" t="s">
        <v>4544</v>
      </c>
      <c r="B985" s="25" t="s">
        <v>4545</v>
      </c>
      <c r="C985" s="11" t="s">
        <v>1965</v>
      </c>
      <c r="D985" s="13" t="s">
        <v>1966</v>
      </c>
      <c r="E985" s="23" t="str">
        <f>IFERROR(__xludf.DUMMYFUNCTION("REGEXEXTRACT(TO_TEXT(A985), ""(\d{2}/\d{2}/\d{4})"")"),"16/01/2024")</f>
        <v>16/01/2024</v>
      </c>
      <c r="F985" s="26">
        <f t="shared" si="1"/>
        <v>45307</v>
      </c>
    </row>
    <row r="986">
      <c r="A986" s="10" t="s">
        <v>4546</v>
      </c>
      <c r="B986" s="25" t="s">
        <v>4547</v>
      </c>
      <c r="C986" s="10" t="s">
        <v>1967</v>
      </c>
      <c r="D986" s="10" t="s">
        <v>1968</v>
      </c>
      <c r="E986" s="23" t="str">
        <f>IFERROR(__xludf.DUMMYFUNCTION("REGEXEXTRACT(TO_TEXT(A986), ""(\d{2}/\d{2}/\d{4})"")"),"18/01/2024")</f>
        <v>18/01/2024</v>
      </c>
      <c r="F986" s="26">
        <f t="shared" si="1"/>
        <v>45309</v>
      </c>
    </row>
    <row r="987">
      <c r="A987" s="11" t="s">
        <v>4548</v>
      </c>
      <c r="B987" s="25" t="s">
        <v>4549</v>
      </c>
      <c r="C987" s="11" t="s">
        <v>1969</v>
      </c>
      <c r="D987" s="13" t="s">
        <v>1970</v>
      </c>
      <c r="E987" s="23" t="str">
        <f>IFERROR(__xludf.DUMMYFUNCTION("REGEXEXTRACT(TO_TEXT(A987), ""(\d{2}/\d{2}/\d{4})"")"),"20/01/2024")</f>
        <v>20/01/2024</v>
      </c>
      <c r="F987" s="26">
        <f t="shared" si="1"/>
        <v>45311</v>
      </c>
    </row>
    <row r="988">
      <c r="A988" s="10" t="s">
        <v>4550</v>
      </c>
      <c r="B988" s="25" t="s">
        <v>4551</v>
      </c>
      <c r="C988" s="10" t="s">
        <v>1971</v>
      </c>
      <c r="D988" s="10" t="s">
        <v>1972</v>
      </c>
      <c r="E988" s="23" t="str">
        <f>IFERROR(__xludf.DUMMYFUNCTION("REGEXEXTRACT(TO_TEXT(A988), ""(\d{2}/\d{2}/\d{4})"")"),"23/01/2024")</f>
        <v>23/01/2024</v>
      </c>
      <c r="F988" s="26">
        <f t="shared" si="1"/>
        <v>45314</v>
      </c>
    </row>
    <row r="989">
      <c r="A989" s="11" t="s">
        <v>4552</v>
      </c>
      <c r="B989" s="25" t="s">
        <v>4553</v>
      </c>
      <c r="C989" s="11" t="s">
        <v>1973</v>
      </c>
      <c r="D989" s="13" t="s">
        <v>1974</v>
      </c>
      <c r="E989" s="23" t="str">
        <f>IFERROR(__xludf.DUMMYFUNCTION("REGEXEXTRACT(TO_TEXT(A989), ""(\d{2}/\d{2}/\d{4})"")"),"25/01/2024")</f>
        <v>25/01/2024</v>
      </c>
      <c r="F989" s="26">
        <f t="shared" si="1"/>
        <v>45316</v>
      </c>
    </row>
    <row r="990">
      <c r="A990" s="10" t="s">
        <v>4554</v>
      </c>
      <c r="B990" s="25" t="s">
        <v>4555</v>
      </c>
      <c r="C990" s="10" t="s">
        <v>1975</v>
      </c>
      <c r="D990" s="10" t="s">
        <v>1976</v>
      </c>
      <c r="E990" s="23" t="str">
        <f>IFERROR(__xludf.DUMMYFUNCTION("REGEXEXTRACT(TO_TEXT(A990), ""(\d{2}/\d{2}/\d{4})"")"),"27/01/2024")</f>
        <v>27/01/2024</v>
      </c>
      <c r="F990" s="26">
        <f t="shared" si="1"/>
        <v>45318</v>
      </c>
    </row>
    <row r="991">
      <c r="A991" s="11" t="s">
        <v>4556</v>
      </c>
      <c r="B991" s="25" t="s">
        <v>4557</v>
      </c>
      <c r="C991" s="11" t="s">
        <v>1977</v>
      </c>
      <c r="D991" s="11" t="s">
        <v>1978</v>
      </c>
      <c r="E991" s="23" t="str">
        <f>IFERROR(__xludf.DUMMYFUNCTION("REGEXEXTRACT(TO_TEXT(A991), ""(\d{2}/\d{2}/\d{4})"")"),"30/01/2024")</f>
        <v>30/01/2024</v>
      </c>
      <c r="F991" s="26">
        <f t="shared" si="1"/>
        <v>45321</v>
      </c>
    </row>
    <row r="992">
      <c r="A992" s="10" t="s">
        <v>4558</v>
      </c>
      <c r="B992" s="25" t="s">
        <v>4559</v>
      </c>
      <c r="C992" s="10" t="s">
        <v>1979</v>
      </c>
      <c r="D992" s="10" t="s">
        <v>1980</v>
      </c>
      <c r="E992" s="23" t="str">
        <f>IFERROR(__xludf.DUMMYFUNCTION("REGEXEXTRACT(TO_TEXT(A992), ""(\d{2}/\d{2}/\d{4})"")"),"01/02/2024")</f>
        <v>01/02/2024</v>
      </c>
      <c r="F992" s="26">
        <f t="shared" si="1"/>
        <v>45323</v>
      </c>
    </row>
    <row r="993">
      <c r="A993" s="11" t="s">
        <v>4560</v>
      </c>
      <c r="B993" s="25" t="s">
        <v>4561</v>
      </c>
      <c r="C993" s="11" t="s">
        <v>1981</v>
      </c>
      <c r="D993" s="13" t="s">
        <v>1982</v>
      </c>
      <c r="E993" s="23" t="str">
        <f>IFERROR(__xludf.DUMMYFUNCTION("REGEXEXTRACT(TO_TEXT(A993), ""(\d{2}/\d{2}/\d{4})"")"),"03/02/2024")</f>
        <v>03/02/2024</v>
      </c>
      <c r="F993" s="26">
        <f t="shared" si="1"/>
        <v>45325</v>
      </c>
    </row>
    <row r="994">
      <c r="A994" s="10" t="s">
        <v>4562</v>
      </c>
      <c r="B994" s="25" t="s">
        <v>4563</v>
      </c>
      <c r="C994" s="10" t="s">
        <v>1983</v>
      </c>
      <c r="D994" s="10" t="s">
        <v>1984</v>
      </c>
      <c r="E994" s="23" t="str">
        <f>IFERROR(__xludf.DUMMYFUNCTION("REGEXEXTRACT(TO_TEXT(A994), ""(\d{2}/\d{2}/\d{4})"")"),"06/02/2024")</f>
        <v>06/02/2024</v>
      </c>
      <c r="F994" s="26">
        <f t="shared" si="1"/>
        <v>45328</v>
      </c>
    </row>
    <row r="995">
      <c r="A995" s="11" t="s">
        <v>4564</v>
      </c>
      <c r="B995" s="25" t="s">
        <v>4565</v>
      </c>
      <c r="C995" s="11" t="s">
        <v>1985</v>
      </c>
      <c r="D995" s="11" t="s">
        <v>1986</v>
      </c>
      <c r="E995" s="23" t="str">
        <f>IFERROR(__xludf.DUMMYFUNCTION("REGEXEXTRACT(TO_TEXT(A995), ""(\d{2}/\d{2}/\d{4})"")"),"08/02/2024")</f>
        <v>08/02/2024</v>
      </c>
      <c r="F995" s="26">
        <f t="shared" si="1"/>
        <v>45330</v>
      </c>
    </row>
    <row r="996">
      <c r="A996" s="10" t="s">
        <v>4566</v>
      </c>
      <c r="B996" s="25" t="s">
        <v>4567</v>
      </c>
      <c r="C996" s="10" t="s">
        <v>1987</v>
      </c>
      <c r="D996" s="10" t="s">
        <v>1988</v>
      </c>
      <c r="E996" s="23" t="str">
        <f>IFERROR(__xludf.DUMMYFUNCTION("REGEXEXTRACT(TO_TEXT(A996), ""(\d{2}/\d{2}/\d{4})"")"),"13/02/2024")</f>
        <v>13/02/2024</v>
      </c>
      <c r="F996" s="26">
        <f t="shared" si="1"/>
        <v>45335</v>
      </c>
    </row>
    <row r="997">
      <c r="A997" s="11" t="s">
        <v>4568</v>
      </c>
      <c r="B997" s="25" t="s">
        <v>4569</v>
      </c>
      <c r="C997" s="11" t="s">
        <v>1989</v>
      </c>
      <c r="D997" s="11" t="s">
        <v>1990</v>
      </c>
      <c r="E997" s="23" t="str">
        <f>IFERROR(__xludf.DUMMYFUNCTION("REGEXEXTRACT(TO_TEXT(A997), ""(\d{2}/\d{2}/\d{4})"")"),"15/02/2024")</f>
        <v>15/02/2024</v>
      </c>
      <c r="F997" s="26">
        <f t="shared" si="1"/>
        <v>45337</v>
      </c>
    </row>
    <row r="998">
      <c r="A998" s="10" t="s">
        <v>4570</v>
      </c>
      <c r="B998" s="25" t="s">
        <v>4571</v>
      </c>
      <c r="C998" s="10" t="s">
        <v>1991</v>
      </c>
      <c r="D998" s="12" t="s">
        <v>1992</v>
      </c>
      <c r="E998" s="23" t="str">
        <f>IFERROR(__xludf.DUMMYFUNCTION("REGEXEXTRACT(TO_TEXT(A998), ""(\d{2}/\d{2}/\d{4})"")"),"17/02/2024")</f>
        <v>17/02/2024</v>
      </c>
      <c r="F998" s="26">
        <f t="shared" si="1"/>
        <v>45339</v>
      </c>
    </row>
    <row r="999">
      <c r="A999" s="11" t="s">
        <v>4572</v>
      </c>
      <c r="B999" s="25" t="s">
        <v>4573</v>
      </c>
      <c r="C999" s="11" t="s">
        <v>1993</v>
      </c>
      <c r="D999" s="13" t="s">
        <v>1994</v>
      </c>
      <c r="E999" s="23" t="str">
        <f>IFERROR(__xludf.DUMMYFUNCTION("REGEXEXTRACT(TO_TEXT(A999), ""(\d{2}/\d{2}/\d{4})"")"),"20/02/2024")</f>
        <v>20/02/2024</v>
      </c>
      <c r="F999" s="26">
        <f t="shared" si="1"/>
        <v>45342</v>
      </c>
    </row>
    <row r="1000">
      <c r="A1000" s="10" t="s">
        <v>4574</v>
      </c>
      <c r="B1000" s="25" t="s">
        <v>4575</v>
      </c>
      <c r="C1000" s="10" t="s">
        <v>1995</v>
      </c>
      <c r="D1000" s="12" t="s">
        <v>1996</v>
      </c>
      <c r="E1000" s="23" t="str">
        <f>IFERROR(__xludf.DUMMYFUNCTION("REGEXEXTRACT(TO_TEXT(A1000), ""(\d{2}/\d{2}/\d{4})"")"),"22/02/2024")</f>
        <v>22/02/2024</v>
      </c>
      <c r="F1000" s="26">
        <f t="shared" si="1"/>
        <v>45344</v>
      </c>
    </row>
    <row r="1001">
      <c r="A1001" s="11" t="s">
        <v>4576</v>
      </c>
      <c r="B1001" s="25" t="s">
        <v>4577</v>
      </c>
      <c r="C1001" s="11" t="s">
        <v>1997</v>
      </c>
      <c r="D1001" s="13" t="s">
        <v>1998</v>
      </c>
      <c r="E1001" s="23" t="str">
        <f>IFERROR(__xludf.DUMMYFUNCTION("REGEXEXTRACT(TO_TEXT(A1001), ""(\d{2}/\d{2}/\d{4})"")"),"24/02/2024")</f>
        <v>24/02/2024</v>
      </c>
      <c r="F1001" s="26">
        <f t="shared" si="1"/>
        <v>45346</v>
      </c>
    </row>
    <row r="1002">
      <c r="A1002" s="10" t="s">
        <v>4578</v>
      </c>
      <c r="B1002" s="25" t="s">
        <v>4579</v>
      </c>
      <c r="C1002" s="10" t="s">
        <v>1999</v>
      </c>
      <c r="D1002" s="10" t="s">
        <v>2000</v>
      </c>
      <c r="E1002" s="23" t="str">
        <f>IFERROR(__xludf.DUMMYFUNCTION("REGEXEXTRACT(TO_TEXT(A1002), ""(\d{2}/\d{2}/\d{4})"")"),"27/02/2024")</f>
        <v>27/02/2024</v>
      </c>
      <c r="F1002" s="26">
        <f t="shared" si="1"/>
        <v>45349</v>
      </c>
    </row>
    <row r="1003">
      <c r="A1003" s="11" t="s">
        <v>4580</v>
      </c>
      <c r="B1003" s="25" t="s">
        <v>4581</v>
      </c>
      <c r="C1003" s="11" t="s">
        <v>2001</v>
      </c>
      <c r="D1003" s="11" t="s">
        <v>2002</v>
      </c>
      <c r="E1003" s="23" t="str">
        <f>IFERROR(__xludf.DUMMYFUNCTION("REGEXEXTRACT(TO_TEXT(A1003), ""(\d{2}/\d{2}/\d{4})"")"),"29/02/2024")</f>
        <v>29/02/2024</v>
      </c>
      <c r="F1003" s="26">
        <f t="shared" si="1"/>
        <v>45351</v>
      </c>
    </row>
    <row r="1004">
      <c r="A1004" s="10" t="s">
        <v>4582</v>
      </c>
      <c r="B1004" s="25" t="s">
        <v>4583</v>
      </c>
      <c r="C1004" s="10" t="s">
        <v>2003</v>
      </c>
      <c r="D1004" s="10" t="s">
        <v>2004</v>
      </c>
      <c r="E1004" s="23" t="str">
        <f>IFERROR(__xludf.DUMMYFUNCTION("REGEXEXTRACT(TO_TEXT(A1004), ""(\d{2}/\d{2}/\d{4})"")"),"02/03/2024")</f>
        <v>02/03/2024</v>
      </c>
      <c r="F1004" s="26">
        <f t="shared" si="1"/>
        <v>45353</v>
      </c>
    </row>
    <row r="1005">
      <c r="A1005" s="11" t="s">
        <v>4584</v>
      </c>
      <c r="B1005" s="25" t="s">
        <v>4585</v>
      </c>
      <c r="C1005" s="11" t="s">
        <v>2005</v>
      </c>
      <c r="D1005" s="13" t="s">
        <v>2006</v>
      </c>
      <c r="E1005" s="23" t="str">
        <f>IFERROR(__xludf.DUMMYFUNCTION("REGEXEXTRACT(TO_TEXT(A1005), ""(\d{2}/\d{2}/\d{4})"")"),"05/03/2024")</f>
        <v>05/03/2024</v>
      </c>
      <c r="F1005" s="26">
        <f t="shared" si="1"/>
        <v>45356</v>
      </c>
    </row>
    <row r="1006">
      <c r="A1006" s="10" t="s">
        <v>4586</v>
      </c>
      <c r="B1006" s="25" t="s">
        <v>4587</v>
      </c>
      <c r="C1006" s="10" t="s">
        <v>2007</v>
      </c>
      <c r="D1006" s="10" t="s">
        <v>2008</v>
      </c>
      <c r="E1006" s="23" t="str">
        <f>IFERROR(__xludf.DUMMYFUNCTION("REGEXEXTRACT(TO_TEXT(A1006), ""(\d{2}/\d{2}/\d{4})"")"),"07/03/2024")</f>
        <v>07/03/2024</v>
      </c>
      <c r="F1006" s="26">
        <f t="shared" si="1"/>
        <v>45358</v>
      </c>
    </row>
    <row r="1007">
      <c r="A1007" s="11" t="s">
        <v>4588</v>
      </c>
      <c r="B1007" s="25" t="s">
        <v>4589</v>
      </c>
      <c r="C1007" s="11" t="s">
        <v>2009</v>
      </c>
      <c r="D1007" s="11" t="s">
        <v>2010</v>
      </c>
      <c r="E1007" s="23" t="str">
        <f>IFERROR(__xludf.DUMMYFUNCTION("REGEXEXTRACT(TO_TEXT(A1007), ""(\d{2}/\d{2}/\d{4})"")"),"09/03/2024")</f>
        <v>09/03/2024</v>
      </c>
      <c r="F1007" s="26">
        <f t="shared" si="1"/>
        <v>45360</v>
      </c>
    </row>
    <row r="1008">
      <c r="A1008" s="10" t="s">
        <v>4590</v>
      </c>
      <c r="B1008" s="25" t="s">
        <v>4591</v>
      </c>
      <c r="C1008" s="10" t="s">
        <v>2011</v>
      </c>
      <c r="D1008" s="10" t="s">
        <v>2012</v>
      </c>
      <c r="E1008" s="23" t="str">
        <f>IFERROR(__xludf.DUMMYFUNCTION("REGEXEXTRACT(TO_TEXT(A1008), ""(\d{2}/\d{2}/\d{4})"")"),"12/03/2024")</f>
        <v>12/03/2024</v>
      </c>
      <c r="F1008" s="26">
        <f t="shared" si="1"/>
        <v>45363</v>
      </c>
    </row>
    <row r="1009">
      <c r="A1009" s="11" t="s">
        <v>4592</v>
      </c>
      <c r="B1009" s="25" t="s">
        <v>4593</v>
      </c>
      <c r="C1009" s="11" t="s">
        <v>2013</v>
      </c>
      <c r="D1009" s="11" t="s">
        <v>2014</v>
      </c>
      <c r="E1009" s="23" t="str">
        <f>IFERROR(__xludf.DUMMYFUNCTION("REGEXEXTRACT(TO_TEXT(A1009), ""(\d{2}/\d{2}/\d{4})"")"),"14/03/2024")</f>
        <v>14/03/2024</v>
      </c>
      <c r="F1009" s="26">
        <f t="shared" si="1"/>
        <v>45365</v>
      </c>
    </row>
    <row r="1010">
      <c r="A1010" s="10" t="s">
        <v>4594</v>
      </c>
      <c r="B1010" s="25" t="s">
        <v>4595</v>
      </c>
      <c r="C1010" s="10" t="s">
        <v>2015</v>
      </c>
      <c r="D1010" s="12" t="s">
        <v>2016</v>
      </c>
      <c r="E1010" s="23" t="str">
        <f>IFERROR(__xludf.DUMMYFUNCTION("REGEXEXTRACT(TO_TEXT(A1010), ""(\d{2}/\d{2}/\d{4})"")"),"16/03/2024")</f>
        <v>16/03/2024</v>
      </c>
      <c r="F1010" s="26">
        <f t="shared" si="1"/>
        <v>45367</v>
      </c>
    </row>
    <row r="1011">
      <c r="A1011" s="11" t="s">
        <v>4596</v>
      </c>
      <c r="B1011" s="25" t="s">
        <v>4597</v>
      </c>
      <c r="C1011" s="11" t="s">
        <v>2017</v>
      </c>
      <c r="D1011" s="13" t="s">
        <v>2018</v>
      </c>
      <c r="E1011" s="23" t="str">
        <f>IFERROR(__xludf.DUMMYFUNCTION("REGEXEXTRACT(TO_TEXT(A1011), ""(\d{2}/\d{2}/\d{4})"")"),"19/03/2024")</f>
        <v>19/03/2024</v>
      </c>
      <c r="F1011" s="26">
        <f t="shared" si="1"/>
        <v>45370</v>
      </c>
    </row>
    <row r="1012">
      <c r="A1012" s="10" t="s">
        <v>4598</v>
      </c>
      <c r="B1012" s="25" t="s">
        <v>4599</v>
      </c>
      <c r="C1012" s="10" t="s">
        <v>2019</v>
      </c>
      <c r="D1012" s="12" t="s">
        <v>2020</v>
      </c>
      <c r="E1012" s="23" t="str">
        <f>IFERROR(__xludf.DUMMYFUNCTION("REGEXEXTRACT(TO_TEXT(A1012), ""(\d{2}/\d{2}/\d{4})"")"),"21/03/2024")</f>
        <v>21/03/2024</v>
      </c>
      <c r="F1012" s="26">
        <f t="shared" si="1"/>
        <v>45372</v>
      </c>
    </row>
    <row r="1013">
      <c r="A1013" s="11" t="s">
        <v>4600</v>
      </c>
      <c r="B1013" s="25" t="s">
        <v>4601</v>
      </c>
      <c r="C1013" s="11" t="s">
        <v>2021</v>
      </c>
      <c r="D1013" s="13" t="s">
        <v>2022</v>
      </c>
      <c r="E1013" s="23" t="str">
        <f>IFERROR(__xludf.DUMMYFUNCTION("REGEXEXTRACT(TO_TEXT(A1013), ""(\d{2}/\d{2}/\d{4})"")"),"23/03/2024")</f>
        <v>23/03/2024</v>
      </c>
      <c r="F1013" s="26">
        <f t="shared" si="1"/>
        <v>45374</v>
      </c>
    </row>
    <row r="1014">
      <c r="A1014" s="10" t="s">
        <v>4602</v>
      </c>
      <c r="B1014" s="25" t="s">
        <v>4603</v>
      </c>
      <c r="C1014" s="10" t="s">
        <v>2023</v>
      </c>
      <c r="D1014" s="12" t="s">
        <v>2024</v>
      </c>
      <c r="E1014" s="23" t="str">
        <f>IFERROR(__xludf.DUMMYFUNCTION("REGEXEXTRACT(TO_TEXT(A1014), ""(\d{2}/\d{2}/\d{4})"")"),"26/03/2024")</f>
        <v>26/03/2024</v>
      </c>
      <c r="F1014" s="26">
        <f t="shared" si="1"/>
        <v>45377</v>
      </c>
    </row>
    <row r="1015">
      <c r="A1015" s="11" t="s">
        <v>4604</v>
      </c>
      <c r="B1015" s="25" t="s">
        <v>4605</v>
      </c>
      <c r="C1015" s="11" t="s">
        <v>167</v>
      </c>
      <c r="D1015" s="13" t="s">
        <v>2025</v>
      </c>
      <c r="E1015" s="23" t="str">
        <f>IFERROR(__xludf.DUMMYFUNCTION("REGEXEXTRACT(TO_TEXT(A1015), ""(\d{2}/\d{2}/\d{4})"")"),"28/03/2024")</f>
        <v>28/03/2024</v>
      </c>
      <c r="F1015" s="26">
        <f t="shared" si="1"/>
        <v>45379</v>
      </c>
    </row>
    <row r="1016">
      <c r="A1016" s="10" t="s">
        <v>4606</v>
      </c>
      <c r="B1016" s="25" t="s">
        <v>4607</v>
      </c>
      <c r="C1016" s="10" t="s">
        <v>167</v>
      </c>
      <c r="D1016" s="12" t="s">
        <v>2026</v>
      </c>
      <c r="E1016" s="23" t="str">
        <f>IFERROR(__xludf.DUMMYFUNCTION("REGEXEXTRACT(TO_TEXT(A1016), ""(\d{2}/\d{2}/\d{4})"")"),"30/03/2024")</f>
        <v>30/03/2024</v>
      </c>
      <c r="F1016" s="26">
        <f t="shared" si="1"/>
        <v>45381</v>
      </c>
    </row>
    <row r="1017">
      <c r="A1017" s="11" t="s">
        <v>4608</v>
      </c>
      <c r="B1017" s="25" t="s">
        <v>4609</v>
      </c>
      <c r="C1017" s="11" t="s">
        <v>2027</v>
      </c>
      <c r="D1017" s="11" t="s">
        <v>2028</v>
      </c>
      <c r="E1017" s="23" t="str">
        <f>IFERROR(__xludf.DUMMYFUNCTION("REGEXEXTRACT(TO_TEXT(A1017), ""(\d{2}/\d{2}/\d{4})"")"),"02/04/2024")</f>
        <v>02/04/2024</v>
      </c>
      <c r="F1017" s="26">
        <f t="shared" si="1"/>
        <v>45384</v>
      </c>
    </row>
    <row r="1018">
      <c r="A1018" s="10" t="s">
        <v>4610</v>
      </c>
      <c r="B1018" s="25" t="s">
        <v>4611</v>
      </c>
      <c r="C1018" s="10" t="s">
        <v>2029</v>
      </c>
      <c r="D1018" s="10" t="s">
        <v>2030</v>
      </c>
      <c r="E1018" s="23" t="str">
        <f>IFERROR(__xludf.DUMMYFUNCTION("REGEXEXTRACT(TO_TEXT(A1018), ""(\d{2}/\d{2}/\d{4})"")"),"04/04/2024")</f>
        <v>04/04/2024</v>
      </c>
      <c r="F1018" s="26">
        <f t="shared" si="1"/>
        <v>45386</v>
      </c>
    </row>
    <row r="1019">
      <c r="A1019" s="11" t="s">
        <v>4612</v>
      </c>
      <c r="B1019" s="25" t="s">
        <v>4613</v>
      </c>
      <c r="C1019" s="11" t="s">
        <v>167</v>
      </c>
      <c r="D1019" s="13" t="s">
        <v>2031</v>
      </c>
      <c r="E1019" s="23" t="str">
        <f>IFERROR(__xludf.DUMMYFUNCTION("REGEXEXTRACT(TO_TEXT(A1019), ""(\d{2}/\d{2}/\d{4})"")"),"06/04/2024")</f>
        <v>06/04/2024</v>
      </c>
      <c r="F1019" s="26">
        <f t="shared" si="1"/>
        <v>45388</v>
      </c>
    </row>
    <row r="1020">
      <c r="A1020" s="10" t="s">
        <v>4614</v>
      </c>
      <c r="B1020" s="25" t="s">
        <v>4615</v>
      </c>
      <c r="C1020" s="10" t="s">
        <v>167</v>
      </c>
      <c r="D1020" s="12" t="s">
        <v>2032</v>
      </c>
      <c r="E1020" s="23" t="str">
        <f>IFERROR(__xludf.DUMMYFUNCTION("REGEXEXTRACT(TO_TEXT(A1020), ""(\d{2}/\d{2}/\d{4})"")"),"09/04/2024")</f>
        <v>09/04/2024</v>
      </c>
      <c r="F1020" s="26">
        <f t="shared" si="1"/>
        <v>45391</v>
      </c>
    </row>
    <row r="1021">
      <c r="A1021" s="11" t="s">
        <v>4616</v>
      </c>
      <c r="B1021" s="25" t="s">
        <v>4617</v>
      </c>
      <c r="C1021" s="13" t="s">
        <v>2033</v>
      </c>
      <c r="D1021" s="13" t="s">
        <v>2034</v>
      </c>
      <c r="E1021" s="23" t="str">
        <f>IFERROR(__xludf.DUMMYFUNCTION("REGEXEXTRACT(TO_TEXT(A1021), ""(\d{2}/\d{2}/\d{4})"")"),"11/04/2024")</f>
        <v>11/04/2024</v>
      </c>
      <c r="F1021" s="26">
        <f t="shared" si="1"/>
        <v>45393</v>
      </c>
    </row>
    <row r="1022">
      <c r="A1022" s="10" t="s">
        <v>4618</v>
      </c>
      <c r="B1022" s="25" t="s">
        <v>4619</v>
      </c>
      <c r="C1022" s="10" t="s">
        <v>2035</v>
      </c>
      <c r="D1022" s="12" t="s">
        <v>2036</v>
      </c>
      <c r="E1022" s="23" t="str">
        <f>IFERROR(__xludf.DUMMYFUNCTION("REGEXEXTRACT(TO_TEXT(A1022), ""(\d{2}/\d{2}/\d{4})"")"),"13/04/2024")</f>
        <v>13/04/2024</v>
      </c>
      <c r="F1022" s="26">
        <f t="shared" si="1"/>
        <v>45395</v>
      </c>
    </row>
    <row r="1023">
      <c r="A1023" s="11" t="s">
        <v>4620</v>
      </c>
      <c r="B1023" s="25" t="s">
        <v>4621</v>
      </c>
      <c r="C1023" s="11" t="s">
        <v>2037</v>
      </c>
      <c r="D1023" s="11" t="s">
        <v>2038</v>
      </c>
      <c r="E1023" s="23" t="str">
        <f>IFERROR(__xludf.DUMMYFUNCTION("REGEXEXTRACT(TO_TEXT(A1023), ""(\d{2}/\d{2}/\d{4})"")"),"16/04/2024")</f>
        <v>16/04/2024</v>
      </c>
      <c r="F1023" s="26">
        <f t="shared" si="1"/>
        <v>45398</v>
      </c>
    </row>
    <row r="1024">
      <c r="A1024" s="10" t="s">
        <v>4622</v>
      </c>
      <c r="B1024" s="25" t="s">
        <v>4623</v>
      </c>
      <c r="C1024" s="10" t="s">
        <v>2039</v>
      </c>
      <c r="D1024" s="12" t="s">
        <v>2040</v>
      </c>
      <c r="E1024" s="23" t="str">
        <f>IFERROR(__xludf.DUMMYFUNCTION("REGEXEXTRACT(TO_TEXT(A1024), ""(\d{2}/\d{2}/\d{4})"")"),"18/04/2024")</f>
        <v>18/04/2024</v>
      </c>
      <c r="F1024" s="26">
        <f t="shared" si="1"/>
        <v>45400</v>
      </c>
    </row>
    <row r="1025">
      <c r="A1025" s="11" t="s">
        <v>4624</v>
      </c>
      <c r="B1025" s="25" t="s">
        <v>4625</v>
      </c>
      <c r="C1025" s="11" t="s">
        <v>2041</v>
      </c>
      <c r="D1025" s="11" t="s">
        <v>2042</v>
      </c>
      <c r="E1025" s="23" t="str">
        <f>IFERROR(__xludf.DUMMYFUNCTION("REGEXEXTRACT(TO_TEXT(A1025), ""(\d{2}/\d{2}/\d{4})"")"),"20/04/2024")</f>
        <v>20/04/2024</v>
      </c>
      <c r="F1025" s="26">
        <f t="shared" si="1"/>
        <v>45402</v>
      </c>
    </row>
    <row r="1026">
      <c r="A1026" s="10" t="s">
        <v>4626</v>
      </c>
      <c r="B1026" s="25" t="s">
        <v>4627</v>
      </c>
      <c r="C1026" s="10" t="s">
        <v>2043</v>
      </c>
      <c r="D1026" s="10" t="s">
        <v>2044</v>
      </c>
      <c r="E1026" s="23" t="str">
        <f>IFERROR(__xludf.DUMMYFUNCTION("REGEXEXTRACT(TO_TEXT(A1026), ""(\d{2}/\d{2}/\d{4})"")"),"23/04/2024")</f>
        <v>23/04/2024</v>
      </c>
      <c r="F1026" s="26">
        <f t="shared" si="1"/>
        <v>45405</v>
      </c>
    </row>
    <row r="1027">
      <c r="A1027" s="11" t="s">
        <v>4628</v>
      </c>
      <c r="B1027" s="25" t="s">
        <v>4629</v>
      </c>
      <c r="C1027" s="11" t="s">
        <v>2045</v>
      </c>
      <c r="D1027" s="11" t="s">
        <v>2046</v>
      </c>
      <c r="E1027" s="23" t="str">
        <f>IFERROR(__xludf.DUMMYFUNCTION("REGEXEXTRACT(TO_TEXT(A1027), ""(\d{2}/\d{2}/\d{4})"")"),"25/04/2024")</f>
        <v>25/04/2024</v>
      </c>
      <c r="F1027" s="26">
        <f t="shared" si="1"/>
        <v>45407</v>
      </c>
    </row>
    <row r="1028">
      <c r="A1028" s="10" t="s">
        <v>4630</v>
      </c>
      <c r="B1028" s="25" t="s">
        <v>4631</v>
      </c>
      <c r="C1028" s="10" t="s">
        <v>2047</v>
      </c>
      <c r="D1028" s="10" t="s">
        <v>2048</v>
      </c>
      <c r="E1028" s="23" t="str">
        <f>IFERROR(__xludf.DUMMYFUNCTION("REGEXEXTRACT(TO_TEXT(A1028), ""(\d{2}/\d{2}/\d{4})"")"),"27/04/2024")</f>
        <v>27/04/2024</v>
      </c>
      <c r="F1028" s="26">
        <f t="shared" si="1"/>
        <v>45409</v>
      </c>
    </row>
    <row r="1029">
      <c r="A1029" s="11" t="s">
        <v>4632</v>
      </c>
      <c r="B1029" s="25" t="s">
        <v>4633</v>
      </c>
      <c r="C1029" s="11" t="s">
        <v>2049</v>
      </c>
      <c r="D1029" s="11" t="s">
        <v>2050</v>
      </c>
      <c r="E1029" s="23" t="str">
        <f>IFERROR(__xludf.DUMMYFUNCTION("REGEXEXTRACT(TO_TEXT(A1029), ""(\d{2}/\d{2}/\d{4})"")"),"30/04/2024")</f>
        <v>30/04/2024</v>
      </c>
      <c r="F1029" s="26">
        <f t="shared" si="1"/>
        <v>45412</v>
      </c>
    </row>
    <row r="1030">
      <c r="A1030" s="10" t="s">
        <v>4634</v>
      </c>
      <c r="B1030" s="25" t="s">
        <v>4635</v>
      </c>
      <c r="C1030" s="10" t="s">
        <v>2051</v>
      </c>
      <c r="D1030" s="10" t="s">
        <v>2052</v>
      </c>
      <c r="E1030" s="23" t="str">
        <f>IFERROR(__xludf.DUMMYFUNCTION("REGEXEXTRACT(TO_TEXT(A1030), ""(\d{2}/\d{2}/\d{4})"")"),"02/05/2024")</f>
        <v>02/05/2024</v>
      </c>
      <c r="F1030" s="26">
        <f t="shared" si="1"/>
        <v>45414</v>
      </c>
    </row>
    <row r="1031">
      <c r="A1031" s="11" t="s">
        <v>4636</v>
      </c>
      <c r="B1031" s="25" t="s">
        <v>4637</v>
      </c>
      <c r="C1031" s="11" t="s">
        <v>2053</v>
      </c>
      <c r="D1031" s="11" t="s">
        <v>2054</v>
      </c>
      <c r="E1031" s="23" t="str">
        <f>IFERROR(__xludf.DUMMYFUNCTION("REGEXEXTRACT(TO_TEXT(A1031), ""(\d{2}/\d{2}/\d{4})"")"),"04/05/2024")</f>
        <v>04/05/2024</v>
      </c>
      <c r="F1031" s="26">
        <f t="shared" si="1"/>
        <v>45416</v>
      </c>
    </row>
    <row r="1032">
      <c r="A1032" s="10" t="s">
        <v>4638</v>
      </c>
      <c r="B1032" s="25" t="s">
        <v>4639</v>
      </c>
      <c r="C1032" s="10" t="s">
        <v>2055</v>
      </c>
      <c r="D1032" s="10" t="s">
        <v>2056</v>
      </c>
      <c r="E1032" s="23" t="str">
        <f>IFERROR(__xludf.DUMMYFUNCTION("REGEXEXTRACT(TO_TEXT(A1032), ""(\d{2}/\d{2}/\d{4})"")"),"07/05/2024")</f>
        <v>07/05/2024</v>
      </c>
      <c r="F1032" s="26">
        <f t="shared" si="1"/>
        <v>45419</v>
      </c>
    </row>
    <row r="1033">
      <c r="A1033" s="11" t="s">
        <v>4640</v>
      </c>
      <c r="B1033" s="25" t="s">
        <v>4641</v>
      </c>
      <c r="C1033" s="13" t="s">
        <v>2057</v>
      </c>
      <c r="D1033" s="13" t="s">
        <v>2058</v>
      </c>
      <c r="E1033" s="23" t="str">
        <f>IFERROR(__xludf.DUMMYFUNCTION("REGEXEXTRACT(TO_TEXT(A1033), ""(\d{2}/\d{2}/\d{4})"")"),"09/05/2024")</f>
        <v>09/05/2024</v>
      </c>
      <c r="F1033" s="26">
        <f t="shared" si="1"/>
        <v>45421</v>
      </c>
    </row>
    <row r="1034">
      <c r="A1034" s="10" t="s">
        <v>4642</v>
      </c>
      <c r="B1034" s="25" t="s">
        <v>4643</v>
      </c>
      <c r="C1034" s="10" t="s">
        <v>2059</v>
      </c>
      <c r="D1034" s="10" t="s">
        <v>2060</v>
      </c>
      <c r="E1034" s="23" t="str">
        <f>IFERROR(__xludf.DUMMYFUNCTION("REGEXEXTRACT(TO_TEXT(A1034), ""(\d{2}/\d{2}/\d{4})"")"),"11/05/2024")</f>
        <v>11/05/2024</v>
      </c>
      <c r="F1034" s="26">
        <f t="shared" si="1"/>
        <v>45423</v>
      </c>
    </row>
    <row r="1035">
      <c r="A1035" s="11" t="s">
        <v>4644</v>
      </c>
      <c r="B1035" s="25" t="s">
        <v>4645</v>
      </c>
      <c r="C1035" s="11" t="s">
        <v>2061</v>
      </c>
      <c r="D1035" s="13" t="s">
        <v>2062</v>
      </c>
      <c r="E1035" s="23" t="str">
        <f>IFERROR(__xludf.DUMMYFUNCTION("REGEXEXTRACT(TO_TEXT(A1035), ""(\d{2}/\d{2}/\d{4})"")"),"14/05/2024")</f>
        <v>14/05/2024</v>
      </c>
      <c r="F1035" s="26">
        <f t="shared" si="1"/>
        <v>45426</v>
      </c>
    </row>
    <row r="1036">
      <c r="A1036" s="10" t="s">
        <v>4646</v>
      </c>
      <c r="B1036" s="25" t="s">
        <v>4647</v>
      </c>
      <c r="C1036" s="10" t="s">
        <v>2063</v>
      </c>
      <c r="D1036" s="10" t="s">
        <v>2064</v>
      </c>
      <c r="E1036" s="23" t="str">
        <f>IFERROR(__xludf.DUMMYFUNCTION("REGEXEXTRACT(TO_TEXT(A1036), ""(\d{2}/\d{2}/\d{4})"")"),"16/05/2024")</f>
        <v>16/05/2024</v>
      </c>
      <c r="F1036" s="26">
        <f t="shared" si="1"/>
        <v>45428</v>
      </c>
    </row>
    <row r="1037">
      <c r="A1037" s="11" t="s">
        <v>4648</v>
      </c>
      <c r="B1037" s="25" t="s">
        <v>4649</v>
      </c>
      <c r="C1037" s="11" t="s">
        <v>2065</v>
      </c>
      <c r="D1037" s="11" t="s">
        <v>2066</v>
      </c>
      <c r="E1037" s="23" t="str">
        <f>IFERROR(__xludf.DUMMYFUNCTION("REGEXEXTRACT(TO_TEXT(A1037), ""(\d{2}/\d{2}/\d{4})"")"),"18/05/2024")</f>
        <v>18/05/2024</v>
      </c>
      <c r="F1037" s="26">
        <f t="shared" si="1"/>
        <v>45430</v>
      </c>
    </row>
    <row r="1038">
      <c r="A1038" s="10" t="s">
        <v>4650</v>
      </c>
      <c r="B1038" s="25" t="s">
        <v>4651</v>
      </c>
      <c r="C1038" s="10" t="s">
        <v>2067</v>
      </c>
      <c r="D1038" s="10" t="s">
        <v>2068</v>
      </c>
      <c r="E1038" s="23" t="str">
        <f>IFERROR(__xludf.DUMMYFUNCTION("REGEXEXTRACT(TO_TEXT(A1038), ""(\d{2}/\d{2}/\d{4})"")"),"21/05/2024")</f>
        <v>21/05/2024</v>
      </c>
      <c r="F1038" s="26">
        <f t="shared" si="1"/>
        <v>45433</v>
      </c>
    </row>
    <row r="1039">
      <c r="A1039" s="11" t="s">
        <v>4652</v>
      </c>
      <c r="B1039" s="25" t="s">
        <v>4653</v>
      </c>
      <c r="C1039" s="11" t="s">
        <v>2069</v>
      </c>
      <c r="D1039" s="11" t="s">
        <v>2070</v>
      </c>
      <c r="E1039" s="23" t="str">
        <f>IFERROR(__xludf.DUMMYFUNCTION("REGEXEXTRACT(TO_TEXT(A1039), ""(\d{2}/\d{2}/\d{4})"")"),"23/05/2024")</f>
        <v>23/05/2024</v>
      </c>
      <c r="F1039" s="26">
        <f t="shared" si="1"/>
        <v>45435</v>
      </c>
    </row>
    <row r="1040">
      <c r="A1040" s="10" t="s">
        <v>4654</v>
      </c>
      <c r="B1040" s="25" t="s">
        <v>4655</v>
      </c>
      <c r="C1040" s="10" t="s">
        <v>2071</v>
      </c>
      <c r="D1040" s="10" t="s">
        <v>2072</v>
      </c>
      <c r="E1040" s="23" t="str">
        <f>IFERROR(__xludf.DUMMYFUNCTION("REGEXEXTRACT(TO_TEXT(A1040), ""(\d{2}/\d{2}/\d{4})"")"),"25/05/2024")</f>
        <v>25/05/2024</v>
      </c>
      <c r="F1040" s="26">
        <f t="shared" si="1"/>
        <v>45437</v>
      </c>
    </row>
    <row r="1041">
      <c r="A1041" s="11" t="s">
        <v>4656</v>
      </c>
      <c r="B1041" s="25" t="s">
        <v>4657</v>
      </c>
      <c r="C1041" s="11" t="s">
        <v>2073</v>
      </c>
      <c r="D1041" s="11" t="s">
        <v>2074</v>
      </c>
      <c r="E1041" s="23" t="str">
        <f>IFERROR(__xludf.DUMMYFUNCTION("REGEXEXTRACT(TO_TEXT(A1041), ""(\d{2}/\d{2}/\d{4})"")"),"28/05/2024")</f>
        <v>28/05/2024</v>
      </c>
      <c r="F1041" s="26">
        <f t="shared" si="1"/>
        <v>45440</v>
      </c>
    </row>
    <row r="1042">
      <c r="A1042" s="10" t="s">
        <v>4658</v>
      </c>
      <c r="B1042" s="25" t="s">
        <v>4659</v>
      </c>
      <c r="C1042" s="10" t="s">
        <v>2075</v>
      </c>
      <c r="D1042" s="12" t="s">
        <v>2076</v>
      </c>
      <c r="E1042" s="23" t="str">
        <f>IFERROR(__xludf.DUMMYFUNCTION("REGEXEXTRACT(TO_TEXT(A1042), ""(\d{2}/\d{2}/\d{4})"")"),"30/05/2024")</f>
        <v>30/05/2024</v>
      </c>
      <c r="F1042" s="26">
        <f t="shared" si="1"/>
        <v>45442</v>
      </c>
    </row>
    <row r="1043">
      <c r="A1043" s="11" t="s">
        <v>4660</v>
      </c>
      <c r="B1043" s="25" t="s">
        <v>4661</v>
      </c>
      <c r="C1043" s="11" t="s">
        <v>2077</v>
      </c>
      <c r="D1043" s="11" t="s">
        <v>2078</v>
      </c>
      <c r="E1043" s="23" t="str">
        <f>IFERROR(__xludf.DUMMYFUNCTION("REGEXEXTRACT(TO_TEXT(A1043), ""(\d{2}/\d{2}/\d{4})"")"),"01/06/2024")</f>
        <v>01/06/2024</v>
      </c>
      <c r="F1043" s="26">
        <f t="shared" si="1"/>
        <v>45444</v>
      </c>
    </row>
    <row r="1044">
      <c r="A1044" s="10" t="s">
        <v>4662</v>
      </c>
      <c r="B1044" s="25" t="s">
        <v>4663</v>
      </c>
      <c r="C1044" s="10" t="s">
        <v>2079</v>
      </c>
      <c r="D1044" s="12" t="s">
        <v>2080</v>
      </c>
      <c r="E1044" s="23" t="str">
        <f>IFERROR(__xludf.DUMMYFUNCTION("REGEXEXTRACT(TO_TEXT(A1044), ""(\d{2}/\d{2}/\d{4})"")"),"04/06/2024")</f>
        <v>04/06/2024</v>
      </c>
      <c r="F1044" s="26">
        <f t="shared" si="1"/>
        <v>45447</v>
      </c>
    </row>
    <row r="1045">
      <c r="A1045" s="11" t="s">
        <v>4664</v>
      </c>
      <c r="B1045" s="25" t="s">
        <v>4665</v>
      </c>
      <c r="C1045" s="11" t="s">
        <v>2081</v>
      </c>
      <c r="D1045" s="11" t="s">
        <v>2082</v>
      </c>
      <c r="E1045" s="23" t="str">
        <f>IFERROR(__xludf.DUMMYFUNCTION("REGEXEXTRACT(TO_TEXT(A1045), ""(\d{2}/\d{2}/\d{4})"")"),"06/06/2024")</f>
        <v>06/06/2024</v>
      </c>
      <c r="F1045" s="26">
        <f t="shared" si="1"/>
        <v>45449</v>
      </c>
    </row>
    <row r="1046">
      <c r="A1046" s="10" t="s">
        <v>4666</v>
      </c>
      <c r="B1046" s="25" t="s">
        <v>4667</v>
      </c>
      <c r="C1046" s="10" t="s">
        <v>2083</v>
      </c>
      <c r="D1046" s="12" t="s">
        <v>2084</v>
      </c>
      <c r="E1046" s="23" t="str">
        <f>IFERROR(__xludf.DUMMYFUNCTION("REGEXEXTRACT(TO_TEXT(A1046), ""(\d{2}/\d{2}/\d{4})"")"),"08/06/2024")</f>
        <v>08/06/2024</v>
      </c>
      <c r="F1046" s="26">
        <f t="shared" si="1"/>
        <v>45451</v>
      </c>
    </row>
    <row r="1047">
      <c r="A1047" s="11" t="s">
        <v>4668</v>
      </c>
      <c r="B1047" s="25" t="s">
        <v>4669</v>
      </c>
      <c r="C1047" s="11" t="s">
        <v>2085</v>
      </c>
      <c r="D1047" s="11" t="s">
        <v>2086</v>
      </c>
      <c r="E1047" s="23" t="str">
        <f>IFERROR(__xludf.DUMMYFUNCTION("REGEXEXTRACT(TO_TEXT(A1047), ""(\d{2}/\d{2}/\d{4})"")"),"11/06/2024")</f>
        <v>11/06/2024</v>
      </c>
      <c r="F1047" s="26">
        <f t="shared" si="1"/>
        <v>45454</v>
      </c>
    </row>
    <row r="1048">
      <c r="A1048" s="10" t="s">
        <v>4670</v>
      </c>
      <c r="B1048" s="25" t="s">
        <v>4671</v>
      </c>
      <c r="C1048" s="10" t="s">
        <v>2087</v>
      </c>
      <c r="D1048" s="10" t="s">
        <v>2088</v>
      </c>
      <c r="E1048" s="23" t="str">
        <f>IFERROR(__xludf.DUMMYFUNCTION("REGEXEXTRACT(TO_TEXT(A1048), ""(\d{2}/\d{2}/\d{4})"")"),"13/06/2024")</f>
        <v>13/06/2024</v>
      </c>
      <c r="F1048" s="26">
        <f t="shared" si="1"/>
        <v>45456</v>
      </c>
    </row>
    <row r="1049">
      <c r="A1049" s="11" t="s">
        <v>4672</v>
      </c>
      <c r="B1049" s="25" t="s">
        <v>4673</v>
      </c>
      <c r="C1049" s="11" t="s">
        <v>2089</v>
      </c>
      <c r="D1049" s="13" t="s">
        <v>2090</v>
      </c>
      <c r="E1049" s="23" t="str">
        <f>IFERROR(__xludf.DUMMYFUNCTION("REGEXEXTRACT(TO_TEXT(A1049), ""(\d{2}/\d{2}/\d{4})"")"),"15/06/2024")</f>
        <v>15/06/2024</v>
      </c>
      <c r="F1049" s="26">
        <f t="shared" si="1"/>
        <v>45458</v>
      </c>
    </row>
    <row r="1050">
      <c r="A1050" s="10" t="s">
        <v>4674</v>
      </c>
      <c r="B1050" s="25" t="s">
        <v>4675</v>
      </c>
      <c r="C1050" s="10" t="s">
        <v>2091</v>
      </c>
      <c r="D1050" s="10" t="s">
        <v>2092</v>
      </c>
      <c r="E1050" s="23" t="str">
        <f>IFERROR(__xludf.DUMMYFUNCTION("REGEXEXTRACT(TO_TEXT(A1050), ""(\d{2}/\d{2}/\d{4})"")"),"18/06/2024")</f>
        <v>18/06/2024</v>
      </c>
      <c r="F1050" s="26">
        <f t="shared" si="1"/>
        <v>45461</v>
      </c>
    </row>
    <row r="1051">
      <c r="A1051" s="11" t="s">
        <v>4676</v>
      </c>
      <c r="B1051" s="25" t="s">
        <v>4677</v>
      </c>
      <c r="C1051" s="11" t="s">
        <v>2093</v>
      </c>
      <c r="D1051" s="11" t="s">
        <v>2094</v>
      </c>
      <c r="E1051" s="23" t="str">
        <f>IFERROR(__xludf.DUMMYFUNCTION("REGEXEXTRACT(TO_TEXT(A1051), ""(\d{2}/\d{2}/\d{4})"")"),"20/06/2024")</f>
        <v>20/06/2024</v>
      </c>
      <c r="F1051" s="26">
        <f t="shared" si="1"/>
        <v>45463</v>
      </c>
    </row>
    <row r="1052">
      <c r="A1052" s="10" t="s">
        <v>4678</v>
      </c>
      <c r="B1052" s="25" t="s">
        <v>4679</v>
      </c>
      <c r="C1052" s="10" t="s">
        <v>2095</v>
      </c>
      <c r="D1052" s="10" t="s">
        <v>2096</v>
      </c>
      <c r="E1052" s="23" t="str">
        <f>IFERROR(__xludf.DUMMYFUNCTION("REGEXEXTRACT(TO_TEXT(A1052), ""(\d{2}/\d{2}/\d{4})"")"),"22/06/2024")</f>
        <v>22/06/2024</v>
      </c>
      <c r="F1052" s="26">
        <f t="shared" si="1"/>
        <v>45465</v>
      </c>
    </row>
    <row r="1053">
      <c r="A1053" s="11" t="s">
        <v>4680</v>
      </c>
      <c r="B1053" s="25" t="s">
        <v>4681</v>
      </c>
      <c r="C1053" s="11" t="s">
        <v>2097</v>
      </c>
      <c r="D1053" s="11" t="s">
        <v>2098</v>
      </c>
      <c r="E1053" s="23" t="str">
        <f>IFERROR(__xludf.DUMMYFUNCTION("REGEXEXTRACT(TO_TEXT(A1053), ""(\d{2}/\d{2}/\d{4})"")"),"25/06/2024")</f>
        <v>25/06/2024</v>
      </c>
      <c r="F1053" s="26">
        <f t="shared" si="1"/>
        <v>45468</v>
      </c>
    </row>
    <row r="1054">
      <c r="A1054" s="10" t="s">
        <v>4682</v>
      </c>
      <c r="B1054" s="25" t="s">
        <v>4683</v>
      </c>
      <c r="C1054" s="10" t="s">
        <v>2099</v>
      </c>
      <c r="D1054" s="10" t="s">
        <v>2100</v>
      </c>
      <c r="E1054" s="23" t="str">
        <f>IFERROR(__xludf.DUMMYFUNCTION("REGEXEXTRACT(TO_TEXT(A1054), ""(\d{2}/\d{2}/\d{4})"")"),"27/06/2024")</f>
        <v>27/06/2024</v>
      </c>
      <c r="F1054" s="26">
        <f t="shared" si="1"/>
        <v>45470</v>
      </c>
    </row>
    <row r="1055">
      <c r="A1055" s="11" t="s">
        <v>4684</v>
      </c>
      <c r="B1055" s="25" t="s">
        <v>4685</v>
      </c>
      <c r="C1055" s="11" t="s">
        <v>2101</v>
      </c>
      <c r="D1055" s="11" t="s">
        <v>2102</v>
      </c>
      <c r="E1055" s="23" t="str">
        <f>IFERROR(__xludf.DUMMYFUNCTION("REGEXEXTRACT(TO_TEXT(A1055), ""(\d{2}/\d{2}/\d{4})"")"),"29/06/2024")</f>
        <v>29/06/2024</v>
      </c>
      <c r="F1055" s="26">
        <f t="shared" si="1"/>
        <v>45472</v>
      </c>
    </row>
    <row r="1056">
      <c r="A1056" s="10" t="s">
        <v>4686</v>
      </c>
      <c r="B1056" s="25" t="s">
        <v>4687</v>
      </c>
      <c r="C1056" s="10" t="s">
        <v>2103</v>
      </c>
      <c r="D1056" s="12" t="s">
        <v>2104</v>
      </c>
      <c r="E1056" s="23" t="str">
        <f>IFERROR(__xludf.DUMMYFUNCTION("REGEXEXTRACT(TO_TEXT(A1056), ""(\d{2}/\d{2}/\d{4})"")"),"02/07/2024")</f>
        <v>02/07/2024</v>
      </c>
      <c r="F1056" s="26">
        <f t="shared" si="1"/>
        <v>45475</v>
      </c>
    </row>
    <row r="1057">
      <c r="A1057" s="11" t="s">
        <v>4688</v>
      </c>
      <c r="B1057" s="25" t="s">
        <v>4689</v>
      </c>
      <c r="C1057" s="11" t="s">
        <v>2105</v>
      </c>
      <c r="D1057" s="13" t="s">
        <v>2106</v>
      </c>
      <c r="E1057" s="23" t="str">
        <f>IFERROR(__xludf.DUMMYFUNCTION("REGEXEXTRACT(TO_TEXT(A1057), ""(\d{2}/\d{2}/\d{4})"")"),"04/07/2024")</f>
        <v>04/07/2024</v>
      </c>
      <c r="F1057" s="26">
        <f t="shared" si="1"/>
        <v>45477</v>
      </c>
    </row>
    <row r="1058">
      <c r="A1058" s="10" t="s">
        <v>4690</v>
      </c>
      <c r="B1058" s="25" t="s">
        <v>4691</v>
      </c>
      <c r="C1058" s="10" t="s">
        <v>2107</v>
      </c>
      <c r="D1058" s="12" t="s">
        <v>2108</v>
      </c>
      <c r="E1058" s="23" t="str">
        <f>IFERROR(__xludf.DUMMYFUNCTION("REGEXEXTRACT(TO_TEXT(A1058), ""(\d{2}/\d{2}/\d{4})"")"),"06/07/2024")</f>
        <v>06/07/2024</v>
      </c>
      <c r="F1058" s="26">
        <f t="shared" si="1"/>
        <v>45479</v>
      </c>
    </row>
    <row r="1059">
      <c r="A1059" s="11" t="s">
        <v>4692</v>
      </c>
      <c r="B1059" s="25" t="s">
        <v>4693</v>
      </c>
      <c r="C1059" s="11" t="s">
        <v>2109</v>
      </c>
      <c r="D1059" s="11" t="s">
        <v>2110</v>
      </c>
      <c r="E1059" s="23" t="str">
        <f>IFERROR(__xludf.DUMMYFUNCTION("REGEXEXTRACT(TO_TEXT(A1059), ""(\d{2}/\d{2}/\d{4})"")"),"09/07/2024")</f>
        <v>09/07/2024</v>
      </c>
      <c r="F1059" s="26">
        <f t="shared" si="1"/>
        <v>45482</v>
      </c>
    </row>
    <row r="1060">
      <c r="A1060" s="10" t="s">
        <v>4694</v>
      </c>
      <c r="B1060" s="25" t="s">
        <v>4695</v>
      </c>
      <c r="C1060" s="10" t="s">
        <v>2111</v>
      </c>
      <c r="D1060" s="12" t="s">
        <v>2112</v>
      </c>
      <c r="E1060" s="23" t="str">
        <f>IFERROR(__xludf.DUMMYFUNCTION("REGEXEXTRACT(TO_TEXT(A1060), ""(\d{2}/\d{2}/\d{4})"")"),"11/07/2024")</f>
        <v>11/07/2024</v>
      </c>
      <c r="F1060" s="26">
        <f t="shared" si="1"/>
        <v>45484</v>
      </c>
    </row>
    <row r="1061">
      <c r="A1061" s="11" t="s">
        <v>4696</v>
      </c>
      <c r="B1061" s="25" t="s">
        <v>4697</v>
      </c>
      <c r="C1061" s="11" t="s">
        <v>2113</v>
      </c>
      <c r="D1061" s="11" t="s">
        <v>2114</v>
      </c>
      <c r="E1061" s="23" t="str">
        <f>IFERROR(__xludf.DUMMYFUNCTION("REGEXEXTRACT(TO_TEXT(A1061), ""(\d{2}/\d{2}/\d{4})"")"),"13/07/2024")</f>
        <v>13/07/2024</v>
      </c>
      <c r="F1061" s="26">
        <f t="shared" si="1"/>
        <v>45486</v>
      </c>
    </row>
    <row r="1062">
      <c r="A1062" s="10" t="s">
        <v>4698</v>
      </c>
      <c r="B1062" s="25" t="s">
        <v>4699</v>
      </c>
      <c r="C1062" s="10" t="s">
        <v>2115</v>
      </c>
      <c r="D1062" s="10" t="s">
        <v>2116</v>
      </c>
      <c r="E1062" s="23" t="str">
        <f>IFERROR(__xludf.DUMMYFUNCTION("REGEXEXTRACT(TO_TEXT(A1062), ""(\d{2}/\d{2}/\d{4})"")"),"16/07/2024")</f>
        <v>16/07/2024</v>
      </c>
      <c r="F1062" s="26">
        <f t="shared" si="1"/>
        <v>45489</v>
      </c>
    </row>
    <row r="1063">
      <c r="A1063" s="11" t="s">
        <v>4700</v>
      </c>
      <c r="B1063" s="25" t="s">
        <v>4701</v>
      </c>
      <c r="C1063" s="11" t="s">
        <v>2117</v>
      </c>
      <c r="D1063" s="11" t="s">
        <v>2118</v>
      </c>
      <c r="E1063" s="23" t="str">
        <f>IFERROR(__xludf.DUMMYFUNCTION("REGEXEXTRACT(TO_TEXT(A1063), ""(\d{2}/\d{2}/\d{4})"")"),"18/07/2024")</f>
        <v>18/07/2024</v>
      </c>
      <c r="F1063" s="26">
        <f t="shared" si="1"/>
        <v>45491</v>
      </c>
    </row>
    <row r="1064">
      <c r="A1064" s="10" t="s">
        <v>4702</v>
      </c>
      <c r="B1064" s="25" t="s">
        <v>4703</v>
      </c>
      <c r="C1064" s="10" t="s">
        <v>2119</v>
      </c>
      <c r="D1064" s="10" t="s">
        <v>2120</v>
      </c>
      <c r="E1064" s="23" t="str">
        <f>IFERROR(__xludf.DUMMYFUNCTION("REGEXEXTRACT(TO_TEXT(A1064), ""(\d{2}/\d{2}/\d{4})"")"),"20/07/2024")</f>
        <v>20/07/2024</v>
      </c>
      <c r="F1064" s="26">
        <f t="shared" si="1"/>
        <v>45493</v>
      </c>
    </row>
    <row r="1065">
      <c r="A1065" s="11" t="s">
        <v>4704</v>
      </c>
      <c r="B1065" s="25" t="s">
        <v>4705</v>
      </c>
      <c r="C1065" s="11" t="s">
        <v>2121</v>
      </c>
      <c r="D1065" s="11" t="s">
        <v>2122</v>
      </c>
      <c r="E1065" s="23" t="str">
        <f>IFERROR(__xludf.DUMMYFUNCTION("REGEXEXTRACT(TO_TEXT(A1065), ""(\d{2}/\d{2}/\d{4})"")"),"23/07/2024")</f>
        <v>23/07/2024</v>
      </c>
      <c r="F1065" s="26">
        <f t="shared" si="1"/>
        <v>45496</v>
      </c>
    </row>
    <row r="1066">
      <c r="A1066" s="10" t="s">
        <v>4706</v>
      </c>
      <c r="B1066" s="25" t="s">
        <v>4707</v>
      </c>
      <c r="C1066" s="10" t="s">
        <v>2123</v>
      </c>
      <c r="D1066" s="12" t="s">
        <v>2124</v>
      </c>
      <c r="E1066" s="23" t="str">
        <f>IFERROR(__xludf.DUMMYFUNCTION("REGEXEXTRACT(TO_TEXT(A1066), ""(\d{2}/\d{2}/\d{4})"")"),"25/07/2024")</f>
        <v>25/07/2024</v>
      </c>
      <c r="F1066" s="26">
        <f t="shared" si="1"/>
        <v>45498</v>
      </c>
    </row>
    <row r="1067">
      <c r="A1067" s="11" t="s">
        <v>4708</v>
      </c>
      <c r="B1067" s="25" t="s">
        <v>4709</v>
      </c>
      <c r="C1067" s="11" t="s">
        <v>2125</v>
      </c>
      <c r="D1067" s="13" t="s">
        <v>2126</v>
      </c>
      <c r="E1067" s="23" t="str">
        <f>IFERROR(__xludf.DUMMYFUNCTION("REGEXEXTRACT(TO_TEXT(A1067), ""(\d{2}/\d{2}/\d{4})"")"),"27/07/2024")</f>
        <v>27/07/2024</v>
      </c>
      <c r="F1067" s="26">
        <f t="shared" si="1"/>
        <v>45500</v>
      </c>
    </row>
    <row r="1068">
      <c r="A1068" s="10" t="s">
        <v>4710</v>
      </c>
      <c r="B1068" s="25" t="s">
        <v>4711</v>
      </c>
      <c r="C1068" s="10" t="s">
        <v>2127</v>
      </c>
      <c r="D1068" s="10" t="s">
        <v>2128</v>
      </c>
      <c r="E1068" s="23" t="str">
        <f>IFERROR(__xludf.DUMMYFUNCTION("REGEXEXTRACT(TO_TEXT(A1068), ""(\d{2}/\d{2}/\d{4})"")"),"30/07/2024")</f>
        <v>30/07/2024</v>
      </c>
      <c r="F1068" s="26">
        <f t="shared" si="1"/>
        <v>45503</v>
      </c>
    </row>
    <row r="1069">
      <c r="A1069" s="11" t="s">
        <v>4712</v>
      </c>
      <c r="B1069" s="25" t="s">
        <v>4713</v>
      </c>
      <c r="C1069" s="11" t="s">
        <v>2129</v>
      </c>
      <c r="D1069" s="13" t="s">
        <v>2130</v>
      </c>
      <c r="E1069" s="23" t="str">
        <f>IFERROR(__xludf.DUMMYFUNCTION("REGEXEXTRACT(TO_TEXT(A1069), ""(\d{2}/\d{2}/\d{4})"")"),"01/08/2024")</f>
        <v>01/08/2024</v>
      </c>
      <c r="F1069" s="26">
        <f t="shared" si="1"/>
        <v>45505</v>
      </c>
    </row>
    <row r="1070">
      <c r="A1070" s="10" t="s">
        <v>4714</v>
      </c>
      <c r="B1070" s="25" t="s">
        <v>4715</v>
      </c>
      <c r="C1070" s="10" t="s">
        <v>2131</v>
      </c>
      <c r="D1070" s="10" t="s">
        <v>2132</v>
      </c>
      <c r="E1070" s="23" t="str">
        <f>IFERROR(__xludf.DUMMYFUNCTION("REGEXEXTRACT(TO_TEXT(A1070), ""(\d{2}/\d{2}/\d{4})"")"),"03/08/2024")</f>
        <v>03/08/2024</v>
      </c>
      <c r="F1070" s="26">
        <f t="shared" si="1"/>
        <v>45507</v>
      </c>
    </row>
    <row r="1071">
      <c r="A1071" s="11" t="s">
        <v>4716</v>
      </c>
      <c r="B1071" s="25" t="s">
        <v>4717</v>
      </c>
      <c r="C1071" s="13" t="s">
        <v>2133</v>
      </c>
      <c r="D1071" s="11" t="s">
        <v>2134</v>
      </c>
      <c r="E1071" s="23" t="str">
        <f>IFERROR(__xludf.DUMMYFUNCTION("REGEXEXTRACT(TO_TEXT(A1071), ""(\d{2}/\d{2}/\d{4})"")"),"06/08/2024")</f>
        <v>06/08/2024</v>
      </c>
      <c r="F1071" s="26">
        <f t="shared" si="1"/>
        <v>45510</v>
      </c>
    </row>
    <row r="1072">
      <c r="A1072" s="10" t="s">
        <v>4718</v>
      </c>
      <c r="B1072" s="25" t="s">
        <v>4719</v>
      </c>
      <c r="C1072" s="10" t="s">
        <v>2135</v>
      </c>
      <c r="D1072" s="12" t="s">
        <v>2136</v>
      </c>
      <c r="E1072" s="23" t="str">
        <f>IFERROR(__xludf.DUMMYFUNCTION("REGEXEXTRACT(TO_TEXT(A1072), ""(\d{2}/\d{2}/\d{4})"")"),"08/08/2024")</f>
        <v>08/08/2024</v>
      </c>
      <c r="F1072" s="26">
        <f t="shared" si="1"/>
        <v>45512</v>
      </c>
    </row>
    <row r="1073">
      <c r="A1073" s="11" t="s">
        <v>4720</v>
      </c>
      <c r="B1073" s="25" t="s">
        <v>4721</v>
      </c>
      <c r="C1073" s="11" t="s">
        <v>2137</v>
      </c>
      <c r="D1073" s="13" t="s">
        <v>2138</v>
      </c>
      <c r="E1073" s="23" t="str">
        <f>IFERROR(__xludf.DUMMYFUNCTION("REGEXEXTRACT(TO_TEXT(A1073), ""(\d{2}/\d{2}/\d{4})"")"),"10/08/2024")</f>
        <v>10/08/2024</v>
      </c>
      <c r="F1073" s="26">
        <f t="shared" si="1"/>
        <v>45514</v>
      </c>
    </row>
    <row r="1074">
      <c r="A1074" s="10" t="s">
        <v>4722</v>
      </c>
      <c r="B1074" s="25" t="s">
        <v>4723</v>
      </c>
      <c r="C1074" s="10" t="s">
        <v>2139</v>
      </c>
      <c r="D1074" s="10" t="s">
        <v>2140</v>
      </c>
      <c r="E1074" s="23" t="str">
        <f>IFERROR(__xludf.DUMMYFUNCTION("REGEXEXTRACT(TO_TEXT(A1074), ""(\d{2}/\d{2}/\d{4})"")"),"13/08/2024")</f>
        <v>13/08/2024</v>
      </c>
      <c r="F1074" s="26">
        <f t="shared" si="1"/>
        <v>45517</v>
      </c>
    </row>
    <row r="1075">
      <c r="A1075" s="11" t="s">
        <v>4724</v>
      </c>
      <c r="B1075" s="25" t="s">
        <v>4725</v>
      </c>
      <c r="C1075" s="13" t="s">
        <v>2141</v>
      </c>
      <c r="D1075" s="13" t="s">
        <v>2142</v>
      </c>
      <c r="E1075" s="23" t="str">
        <f>IFERROR(__xludf.DUMMYFUNCTION("REGEXEXTRACT(TO_TEXT(A1075), ""(\d{2}/\d{2}/\d{4})"")"),"15/08/2024")</f>
        <v>15/08/2024</v>
      </c>
      <c r="F1075" s="26">
        <f t="shared" si="1"/>
        <v>45519</v>
      </c>
    </row>
    <row r="1076">
      <c r="A1076" s="10" t="s">
        <v>4726</v>
      </c>
      <c r="B1076" s="25" t="s">
        <v>4727</v>
      </c>
      <c r="C1076" s="10" t="s">
        <v>2143</v>
      </c>
      <c r="D1076" s="10" t="s">
        <v>2144</v>
      </c>
      <c r="E1076" s="23" t="str">
        <f>IFERROR(__xludf.DUMMYFUNCTION("REGEXEXTRACT(TO_TEXT(A1076), ""(\d{2}/\d{2}/\d{4})"")"),"17/08/2024")</f>
        <v>17/08/2024</v>
      </c>
      <c r="F1076" s="26">
        <f t="shared" si="1"/>
        <v>45521</v>
      </c>
    </row>
    <row r="1077">
      <c r="A1077" s="11" t="s">
        <v>4728</v>
      </c>
      <c r="B1077" s="25" t="s">
        <v>4729</v>
      </c>
      <c r="C1077" s="11" t="s">
        <v>2145</v>
      </c>
      <c r="D1077" s="11" t="s">
        <v>2146</v>
      </c>
      <c r="E1077" s="23" t="str">
        <f>IFERROR(__xludf.DUMMYFUNCTION("REGEXEXTRACT(TO_TEXT(A1077), ""(\d{2}/\d{2}/\d{4})"")"),"20/08/2024")</f>
        <v>20/08/2024</v>
      </c>
      <c r="F1077" s="26">
        <f t="shared" si="1"/>
        <v>45524</v>
      </c>
    </row>
    <row r="1078">
      <c r="A1078" s="10" t="s">
        <v>4730</v>
      </c>
      <c r="B1078" s="25" t="s">
        <v>4731</v>
      </c>
      <c r="C1078" s="10" t="s">
        <v>2147</v>
      </c>
      <c r="D1078" s="12" t="s">
        <v>2148</v>
      </c>
      <c r="E1078" s="23" t="str">
        <f>IFERROR(__xludf.DUMMYFUNCTION("REGEXEXTRACT(TO_TEXT(A1078), ""(\d{2}/\d{2}/\d{4})"")"),"22/08/2024")</f>
        <v>22/08/2024</v>
      </c>
      <c r="F1078" s="26">
        <f t="shared" si="1"/>
        <v>45526</v>
      </c>
    </row>
    <row r="1079">
      <c r="A1079" s="11" t="s">
        <v>4732</v>
      </c>
      <c r="B1079" s="25" t="s">
        <v>4733</v>
      </c>
      <c r="C1079" s="11" t="s">
        <v>2149</v>
      </c>
      <c r="D1079" s="11" t="s">
        <v>2150</v>
      </c>
      <c r="E1079" s="23" t="str">
        <f>IFERROR(__xludf.DUMMYFUNCTION("REGEXEXTRACT(TO_TEXT(A1079), ""(\d{2}/\d{2}/\d{4})"")"),"24/08/2024")</f>
        <v>24/08/2024</v>
      </c>
      <c r="F1079" s="26">
        <f t="shared" si="1"/>
        <v>45528</v>
      </c>
    </row>
    <row r="1080">
      <c r="A1080" s="10" t="s">
        <v>4734</v>
      </c>
      <c r="B1080" s="25" t="s">
        <v>4735</v>
      </c>
      <c r="C1080" s="10" t="s">
        <v>2151</v>
      </c>
      <c r="D1080" s="10" t="s">
        <v>2152</v>
      </c>
      <c r="E1080" s="23" t="str">
        <f>IFERROR(__xludf.DUMMYFUNCTION("REGEXEXTRACT(TO_TEXT(A1080), ""(\d{2}/\d{2}/\d{4})"")"),"27/08/2024")</f>
        <v>27/08/2024</v>
      </c>
      <c r="F1080" s="26">
        <f t="shared" si="1"/>
        <v>45531</v>
      </c>
    </row>
    <row r="1081">
      <c r="A1081" s="11" t="s">
        <v>4736</v>
      </c>
      <c r="B1081" s="25" t="s">
        <v>4737</v>
      </c>
      <c r="C1081" s="11" t="s">
        <v>2153</v>
      </c>
      <c r="D1081" s="11" t="s">
        <v>2154</v>
      </c>
      <c r="E1081" s="23" t="str">
        <f>IFERROR(__xludf.DUMMYFUNCTION("REGEXEXTRACT(TO_TEXT(A1081), ""(\d{2}/\d{2}/\d{4})"")"),"29/08/2024")</f>
        <v>29/08/2024</v>
      </c>
      <c r="F1081" s="26">
        <f t="shared" si="1"/>
        <v>45533</v>
      </c>
    </row>
    <row r="1082">
      <c r="A1082" s="10" t="s">
        <v>4738</v>
      </c>
      <c r="B1082" s="25" t="s">
        <v>4739</v>
      </c>
      <c r="C1082" s="10" t="s">
        <v>2155</v>
      </c>
      <c r="D1082" s="12" t="s">
        <v>2156</v>
      </c>
      <c r="E1082" s="23" t="str">
        <f>IFERROR(__xludf.DUMMYFUNCTION("REGEXEXTRACT(TO_TEXT(A1082), ""(\d{2}/\d{2}/\d{4})"")"),"31/08/2024")</f>
        <v>31/08/2024</v>
      </c>
      <c r="F1082" s="26">
        <f t="shared" si="1"/>
        <v>45535</v>
      </c>
    </row>
    <row r="1083">
      <c r="A1083" s="11" t="s">
        <v>4740</v>
      </c>
      <c r="B1083" s="25" t="s">
        <v>4741</v>
      </c>
      <c r="C1083" s="11" t="s">
        <v>2157</v>
      </c>
      <c r="D1083" s="11" t="s">
        <v>2158</v>
      </c>
      <c r="E1083" s="23" t="str">
        <f>IFERROR(__xludf.DUMMYFUNCTION("REGEXEXTRACT(TO_TEXT(A1083), ""(\d{2}/\d{2}/\d{4})"")"),"03/09/2024")</f>
        <v>03/09/2024</v>
      </c>
      <c r="F1083" s="26">
        <f t="shared" si="1"/>
        <v>45538</v>
      </c>
    </row>
    <row r="1084">
      <c r="A1084" s="10" t="s">
        <v>4742</v>
      </c>
      <c r="B1084" s="25" t="s">
        <v>4743</v>
      </c>
      <c r="C1084" s="10" t="s">
        <v>2159</v>
      </c>
      <c r="D1084" s="10" t="s">
        <v>2160</v>
      </c>
      <c r="E1084" s="23" t="str">
        <f>IFERROR(__xludf.DUMMYFUNCTION("REGEXEXTRACT(TO_TEXT(A1084), ""(\d{2}/\d{2}/\d{4})"")"),"05/09/2024")</f>
        <v>05/09/2024</v>
      </c>
      <c r="F1084" s="26">
        <f t="shared" si="1"/>
        <v>45540</v>
      </c>
    </row>
    <row r="1085">
      <c r="A1085" s="11" t="s">
        <v>4744</v>
      </c>
      <c r="B1085" s="25" t="s">
        <v>4745</v>
      </c>
      <c r="C1085" s="11" t="s">
        <v>2161</v>
      </c>
      <c r="D1085" s="11" t="s">
        <v>2162</v>
      </c>
      <c r="E1085" s="23" t="str">
        <f>IFERROR(__xludf.DUMMYFUNCTION("REGEXEXTRACT(TO_TEXT(A1085), ""(\d{2}/\d{2}/\d{4})"")"),"07/09/2024")</f>
        <v>07/09/2024</v>
      </c>
      <c r="F1085" s="26">
        <f t="shared" si="1"/>
        <v>45542</v>
      </c>
    </row>
    <row r="1086">
      <c r="A1086" s="10" t="s">
        <v>4746</v>
      </c>
      <c r="B1086" s="25" t="s">
        <v>4747</v>
      </c>
      <c r="C1086" s="10" t="s">
        <v>2163</v>
      </c>
      <c r="D1086" s="12" t="s">
        <v>2164</v>
      </c>
      <c r="E1086" s="23" t="str">
        <f>IFERROR(__xludf.DUMMYFUNCTION("REGEXEXTRACT(TO_TEXT(A1086), ""(\d{2}/\d{2}/\d{4})"")"),"10/09/2024")</f>
        <v>10/09/2024</v>
      </c>
      <c r="F1086" s="26">
        <f t="shared" si="1"/>
        <v>45545</v>
      </c>
    </row>
    <row r="1087">
      <c r="A1087" s="11" t="s">
        <v>4748</v>
      </c>
      <c r="B1087" s="25" t="s">
        <v>4749</v>
      </c>
      <c r="C1087" s="11" t="s">
        <v>2165</v>
      </c>
      <c r="D1087" s="11" t="s">
        <v>2166</v>
      </c>
      <c r="E1087" s="23" t="str">
        <f>IFERROR(__xludf.DUMMYFUNCTION("REGEXEXTRACT(TO_TEXT(A1087), ""(\d{2}/\d{2}/\d{4})"")"),"12/09/2024")</f>
        <v>12/09/2024</v>
      </c>
      <c r="F1087" s="26">
        <f t="shared" si="1"/>
        <v>45547</v>
      </c>
    </row>
    <row r="1088">
      <c r="A1088" s="10" t="s">
        <v>4750</v>
      </c>
      <c r="B1088" s="25" t="s">
        <v>4751</v>
      </c>
      <c r="C1088" s="10" t="s">
        <v>2167</v>
      </c>
      <c r="D1088" s="10" t="s">
        <v>2168</v>
      </c>
      <c r="E1088" s="23" t="str">
        <f>IFERROR(__xludf.DUMMYFUNCTION("REGEXEXTRACT(TO_TEXT(A1088), ""(\d{2}/\d{2}/\d{4})"")"),"14/09/2024")</f>
        <v>14/09/2024</v>
      </c>
      <c r="F1088" s="26">
        <f t="shared" si="1"/>
        <v>45549</v>
      </c>
    </row>
    <row r="1089">
      <c r="A1089" s="11" t="s">
        <v>4752</v>
      </c>
      <c r="B1089" s="25" t="s">
        <v>4753</v>
      </c>
      <c r="C1089" s="11" t="s">
        <v>2169</v>
      </c>
      <c r="D1089" s="11" t="s">
        <v>2170</v>
      </c>
      <c r="E1089" s="23" t="str">
        <f>IFERROR(__xludf.DUMMYFUNCTION("REGEXEXTRACT(TO_TEXT(A1089), ""(\d{2}/\d{2}/\d{4})"")"),"17/09/2024")</f>
        <v>17/09/2024</v>
      </c>
      <c r="F1089" s="26">
        <f t="shared" si="1"/>
        <v>45552</v>
      </c>
    </row>
    <row r="1090">
      <c r="A1090" s="10" t="s">
        <v>4754</v>
      </c>
      <c r="B1090" s="25" t="s">
        <v>4755</v>
      </c>
      <c r="C1090" s="10" t="s">
        <v>2171</v>
      </c>
      <c r="D1090" s="10" t="s">
        <v>2172</v>
      </c>
      <c r="E1090" s="23" t="str">
        <f>IFERROR(__xludf.DUMMYFUNCTION("REGEXEXTRACT(TO_TEXT(A1090), ""(\d{2}/\d{2}/\d{4})"")"),"19/09/2024")</f>
        <v>19/09/2024</v>
      </c>
      <c r="F1090" s="26">
        <f t="shared" si="1"/>
        <v>45554</v>
      </c>
    </row>
    <row r="1091">
      <c r="A1091" s="11" t="s">
        <v>4756</v>
      </c>
      <c r="B1091" s="25" t="s">
        <v>4757</v>
      </c>
      <c r="C1091" s="11" t="s">
        <v>2173</v>
      </c>
      <c r="D1091" s="13" t="s">
        <v>2174</v>
      </c>
      <c r="E1091" s="23" t="str">
        <f>IFERROR(__xludf.DUMMYFUNCTION("REGEXEXTRACT(TO_TEXT(A1091), ""(\d{2}/\d{2}/\d{4})"")"),"21/09/2024")</f>
        <v>21/09/2024</v>
      </c>
      <c r="F1091" s="26">
        <f t="shared" si="1"/>
        <v>45556</v>
      </c>
    </row>
    <row r="1092">
      <c r="A1092" s="10" t="s">
        <v>4758</v>
      </c>
      <c r="B1092" s="25" t="s">
        <v>4759</v>
      </c>
      <c r="C1092" s="10" t="s">
        <v>2175</v>
      </c>
      <c r="D1092" s="10" t="s">
        <v>2176</v>
      </c>
      <c r="E1092" s="23" t="str">
        <f>IFERROR(__xludf.DUMMYFUNCTION("REGEXEXTRACT(TO_TEXT(A1092), ""(\d{2}/\d{2}/\d{4})"")"),"24/09/2024")</f>
        <v>24/09/2024</v>
      </c>
      <c r="F1092" s="26">
        <f t="shared" si="1"/>
        <v>45559</v>
      </c>
    </row>
    <row r="1093">
      <c r="A1093" s="11" t="s">
        <v>4760</v>
      </c>
      <c r="B1093" s="25" t="s">
        <v>4761</v>
      </c>
      <c r="C1093" s="11" t="s">
        <v>2177</v>
      </c>
      <c r="D1093" s="11" t="s">
        <v>2178</v>
      </c>
      <c r="E1093" s="23" t="str">
        <f>IFERROR(__xludf.DUMMYFUNCTION("REGEXEXTRACT(TO_TEXT(A1093), ""(\d{2}/\d{2}/\d{4})"")"),"26/09/2024")</f>
        <v>26/09/2024</v>
      </c>
      <c r="F1093" s="26">
        <f t="shared" si="1"/>
        <v>45561</v>
      </c>
    </row>
    <row r="1094">
      <c r="A1094" s="10" t="s">
        <v>4762</v>
      </c>
      <c r="B1094" s="25" t="s">
        <v>4763</v>
      </c>
      <c r="C1094" s="10" t="s">
        <v>2179</v>
      </c>
      <c r="D1094" s="12" t="s">
        <v>2180</v>
      </c>
      <c r="E1094" s="23" t="str">
        <f>IFERROR(__xludf.DUMMYFUNCTION("REGEXEXTRACT(TO_TEXT(A1094), ""(\d{2}/\d{2}/\d{4})"")"),"28/09/2024")</f>
        <v>28/09/2024</v>
      </c>
      <c r="F1094" s="26">
        <f t="shared" si="1"/>
        <v>45563</v>
      </c>
    </row>
    <row r="1095">
      <c r="A1095" s="11" t="s">
        <v>4764</v>
      </c>
      <c r="B1095" s="25" t="s">
        <v>4765</v>
      </c>
      <c r="C1095" s="11" t="s">
        <v>2181</v>
      </c>
      <c r="D1095" s="11" t="s">
        <v>2182</v>
      </c>
      <c r="E1095" s="23" t="str">
        <f>IFERROR(__xludf.DUMMYFUNCTION("REGEXEXTRACT(TO_TEXT(A1095), ""(\d{2}/\d{2}/\d{4})"")"),"01/10/2024")</f>
        <v>01/10/2024</v>
      </c>
      <c r="F1095" s="26">
        <f t="shared" si="1"/>
        <v>45566</v>
      </c>
    </row>
    <row r="1096">
      <c r="A1096" s="10" t="s">
        <v>4766</v>
      </c>
      <c r="B1096" s="25" t="s">
        <v>4767</v>
      </c>
      <c r="C1096" s="10" t="s">
        <v>2183</v>
      </c>
      <c r="D1096" s="12" t="s">
        <v>2184</v>
      </c>
      <c r="E1096" s="23" t="str">
        <f>IFERROR(__xludf.DUMMYFUNCTION("REGEXEXTRACT(TO_TEXT(A1096), ""(\d{2}/\d{2}/\d{4})"")"),"03/10/2024")</f>
        <v>03/10/2024</v>
      </c>
      <c r="F1096" s="26">
        <f t="shared" si="1"/>
        <v>45568</v>
      </c>
    </row>
    <row r="1097">
      <c r="A1097" s="11" t="s">
        <v>4768</v>
      </c>
      <c r="B1097" s="25" t="s">
        <v>4769</v>
      </c>
      <c r="C1097" s="11" t="s">
        <v>2185</v>
      </c>
      <c r="D1097" s="11" t="s">
        <v>2186</v>
      </c>
      <c r="E1097" s="23" t="str">
        <f>IFERROR(__xludf.DUMMYFUNCTION("REGEXEXTRACT(TO_TEXT(A1097), ""(\d{2}/\d{2}/\d{4})"")"),"05/10/2024")</f>
        <v>05/10/2024</v>
      </c>
      <c r="F1097" s="26">
        <f t="shared" si="1"/>
        <v>45570</v>
      </c>
    </row>
    <row r="1098">
      <c r="A1098" s="10" t="s">
        <v>4770</v>
      </c>
      <c r="B1098" s="25" t="s">
        <v>4771</v>
      </c>
      <c r="C1098" s="10" t="s">
        <v>2187</v>
      </c>
      <c r="D1098" s="10" t="s">
        <v>2188</v>
      </c>
      <c r="E1098" s="23" t="str">
        <f>IFERROR(__xludf.DUMMYFUNCTION("REGEXEXTRACT(TO_TEXT(A1098), ""(\d{2}/\d{2}/\d{4})"")"),"08/10/2024")</f>
        <v>08/10/2024</v>
      </c>
      <c r="F1098" s="26">
        <f t="shared" si="1"/>
        <v>45573</v>
      </c>
    </row>
    <row r="1099">
      <c r="A1099" s="11" t="s">
        <v>4772</v>
      </c>
      <c r="B1099" s="25" t="s">
        <v>4773</v>
      </c>
      <c r="C1099" s="11" t="s">
        <v>2189</v>
      </c>
      <c r="D1099" s="13" t="s">
        <v>2190</v>
      </c>
      <c r="E1099" s="23" t="str">
        <f>IFERROR(__xludf.DUMMYFUNCTION("REGEXEXTRACT(TO_TEXT(A1099), ""(\d{2}/\d{2}/\d{4})"")"),"10/10/2024")</f>
        <v>10/10/2024</v>
      </c>
      <c r="F1099" s="26">
        <f t="shared" si="1"/>
        <v>45575</v>
      </c>
    </row>
    <row r="1100">
      <c r="A1100" s="10" t="s">
        <v>4774</v>
      </c>
      <c r="B1100" s="25" t="s">
        <v>4775</v>
      </c>
      <c r="C1100" s="10" t="s">
        <v>2191</v>
      </c>
      <c r="D1100" s="10" t="s">
        <v>2192</v>
      </c>
      <c r="E1100" s="23" t="str">
        <f>IFERROR(__xludf.DUMMYFUNCTION("REGEXEXTRACT(TO_TEXT(A1100), ""(\d{2}/\d{2}/\d{4})"")"),"12/10/2024")</f>
        <v>12/10/2024</v>
      </c>
      <c r="F1100" s="26">
        <f t="shared" si="1"/>
        <v>45577</v>
      </c>
    </row>
    <row r="1101">
      <c r="A1101" s="11" t="s">
        <v>4776</v>
      </c>
      <c r="B1101" s="25" t="s">
        <v>4777</v>
      </c>
      <c r="C1101" s="11" t="s">
        <v>2193</v>
      </c>
      <c r="D1101" s="11" t="s">
        <v>2194</v>
      </c>
      <c r="E1101" s="23" t="str">
        <f>IFERROR(__xludf.DUMMYFUNCTION("REGEXEXTRACT(TO_TEXT(A1101), ""(\d{2}/\d{2}/\d{4})"")"),"15/10/2024")</f>
        <v>15/10/2024</v>
      </c>
      <c r="F1101" s="26">
        <f t="shared" si="1"/>
        <v>45580</v>
      </c>
    </row>
    <row r="1102">
      <c r="A1102" s="10" t="s">
        <v>4778</v>
      </c>
      <c r="B1102" s="25" t="s">
        <v>4779</v>
      </c>
      <c r="C1102" s="10" t="s">
        <v>2195</v>
      </c>
      <c r="D1102" s="10" t="s">
        <v>2196</v>
      </c>
      <c r="E1102" s="23" t="str">
        <f>IFERROR(__xludf.DUMMYFUNCTION("REGEXEXTRACT(TO_TEXT(A1102), ""(\d{2}/\d{2}/\d{4})"")"),"17/10/2024")</f>
        <v>17/10/2024</v>
      </c>
      <c r="F1102" s="26">
        <f t="shared" si="1"/>
        <v>45582</v>
      </c>
    </row>
    <row r="1103">
      <c r="A1103" s="11" t="s">
        <v>4780</v>
      </c>
      <c r="B1103" s="25" t="s">
        <v>4781</v>
      </c>
      <c r="C1103" s="11" t="s">
        <v>2197</v>
      </c>
      <c r="D1103" s="11" t="s">
        <v>2198</v>
      </c>
      <c r="E1103" s="23" t="str">
        <f>IFERROR(__xludf.DUMMYFUNCTION("REGEXEXTRACT(TO_TEXT(A1103), ""(\d{2}/\d{2}/\d{4})"")"),"19/10/2024")</f>
        <v>19/10/2024</v>
      </c>
      <c r="F1103" s="26">
        <f t="shared" si="1"/>
        <v>45584</v>
      </c>
    </row>
    <row r="1104">
      <c r="A1104" s="10" t="s">
        <v>4782</v>
      </c>
      <c r="B1104" s="25" t="s">
        <v>4783</v>
      </c>
      <c r="C1104" s="10" t="s">
        <v>2199</v>
      </c>
      <c r="D1104" s="10" t="s">
        <v>2200</v>
      </c>
      <c r="E1104" s="23" t="str">
        <f>IFERROR(__xludf.DUMMYFUNCTION("REGEXEXTRACT(TO_TEXT(A1104), ""(\d{2}/\d{2}/\d{4})"")"),"22/10/2024")</f>
        <v>22/10/2024</v>
      </c>
      <c r="F1104" s="26">
        <f t="shared" si="1"/>
        <v>45587</v>
      </c>
    </row>
    <row r="1105">
      <c r="A1105" s="11" t="s">
        <v>4784</v>
      </c>
      <c r="B1105" s="25" t="s">
        <v>4785</v>
      </c>
      <c r="C1105" s="11" t="s">
        <v>2201</v>
      </c>
      <c r="D1105" s="13" t="s">
        <v>2202</v>
      </c>
      <c r="E1105" s="23" t="str">
        <f>IFERROR(__xludf.DUMMYFUNCTION("REGEXEXTRACT(TO_TEXT(A1105), ""(\d{2}/\d{2}/\d{4})"")"),"24/10/2024")</f>
        <v>24/10/2024</v>
      </c>
      <c r="F1105" s="26">
        <f t="shared" si="1"/>
        <v>45589</v>
      </c>
    </row>
    <row r="1106">
      <c r="A1106" s="10" t="s">
        <v>4786</v>
      </c>
      <c r="B1106" s="25" t="s">
        <v>4787</v>
      </c>
      <c r="C1106" s="12" t="s">
        <v>2203</v>
      </c>
      <c r="D1106" s="10" t="s">
        <v>2204</v>
      </c>
      <c r="E1106" s="23" t="str">
        <f>IFERROR(__xludf.DUMMYFUNCTION("REGEXEXTRACT(TO_TEXT(A1106), ""(\d{2}/\d{2}/\d{4})"")"),"26/10/2024")</f>
        <v>26/10/2024</v>
      </c>
      <c r="F1106" s="26">
        <f t="shared" si="1"/>
        <v>45591</v>
      </c>
    </row>
    <row r="1107">
      <c r="A1107" s="11" t="s">
        <v>4788</v>
      </c>
      <c r="B1107" s="25" t="s">
        <v>4789</v>
      </c>
      <c r="C1107" s="11" t="s">
        <v>2205</v>
      </c>
      <c r="D1107" s="13" t="s">
        <v>2206</v>
      </c>
      <c r="E1107" s="23" t="str">
        <f>IFERROR(__xludf.DUMMYFUNCTION("REGEXEXTRACT(TO_TEXT(A1107), ""(\d{2}/\d{2}/\d{4})"")"),"29/10/2024")</f>
        <v>29/10/2024</v>
      </c>
      <c r="F1107" s="26">
        <f t="shared" si="1"/>
        <v>45594</v>
      </c>
    </row>
    <row r="1108">
      <c r="A1108" s="10" t="s">
        <v>4790</v>
      </c>
      <c r="B1108" s="25" t="s">
        <v>4791</v>
      </c>
      <c r="C1108" s="10" t="s">
        <v>2207</v>
      </c>
      <c r="D1108" s="12" t="s">
        <v>2208</v>
      </c>
      <c r="E1108" s="23" t="str">
        <f>IFERROR(__xludf.DUMMYFUNCTION("REGEXEXTRACT(TO_TEXT(A1108), ""(\d{2}/\d{2}/\d{4})"")"),"31/10/2024")</f>
        <v>31/10/2024</v>
      </c>
      <c r="F1108" s="26">
        <f t="shared" si="1"/>
        <v>45596</v>
      </c>
    </row>
    <row r="1109">
      <c r="A1109" s="11" t="s">
        <v>4792</v>
      </c>
      <c r="B1109" s="25" t="s">
        <v>4793</v>
      </c>
      <c r="C1109" s="11" t="s">
        <v>2209</v>
      </c>
      <c r="D1109" s="11" t="s">
        <v>2210</v>
      </c>
      <c r="E1109" s="23" t="str">
        <f>IFERROR(__xludf.DUMMYFUNCTION("REGEXEXTRACT(TO_TEXT(A1109), ""(\d{2}/\d{2}/\d{4})"")"),"02/11/2024")</f>
        <v>02/11/2024</v>
      </c>
      <c r="F1109" s="26">
        <f t="shared" si="1"/>
        <v>45598</v>
      </c>
    </row>
    <row r="1110">
      <c r="A1110" s="10" t="s">
        <v>4794</v>
      </c>
      <c r="B1110" s="25" t="s">
        <v>4795</v>
      </c>
      <c r="C1110" s="10" t="s">
        <v>2211</v>
      </c>
      <c r="D1110" s="10" t="s">
        <v>2212</v>
      </c>
      <c r="E1110" s="23" t="str">
        <f>IFERROR(__xludf.DUMMYFUNCTION("REGEXEXTRACT(TO_TEXT(A1110), ""(\d{2}/\d{2}/\d{4})"")"),"05/11/2024")</f>
        <v>05/11/2024</v>
      </c>
      <c r="F1110" s="26">
        <f t="shared" si="1"/>
        <v>45601</v>
      </c>
    </row>
    <row r="1111">
      <c r="A1111" s="11" t="s">
        <v>4796</v>
      </c>
      <c r="B1111" s="25" t="s">
        <v>4797</v>
      </c>
      <c r="C1111" s="11" t="s">
        <v>2213</v>
      </c>
      <c r="D1111" s="11" t="s">
        <v>2214</v>
      </c>
      <c r="E1111" s="23" t="str">
        <f>IFERROR(__xludf.DUMMYFUNCTION("REGEXEXTRACT(TO_TEXT(A1111), ""(\d{2}/\d{2}/\d{4})"")"),"07/11/2024")</f>
        <v>07/11/2024</v>
      </c>
      <c r="F1111" s="26">
        <f t="shared" si="1"/>
        <v>45603</v>
      </c>
    </row>
    <row r="1112">
      <c r="A1112" s="10" t="s">
        <v>4798</v>
      </c>
      <c r="B1112" s="25" t="s">
        <v>4799</v>
      </c>
      <c r="C1112" s="10" t="s">
        <v>2215</v>
      </c>
      <c r="D1112" s="10" t="s">
        <v>2216</v>
      </c>
      <c r="E1112" s="23" t="str">
        <f>IFERROR(__xludf.DUMMYFUNCTION("REGEXEXTRACT(TO_TEXT(A1112), ""(\d{2}/\d{2}/\d{4})"")"),"09/11/2024")</f>
        <v>09/11/2024</v>
      </c>
      <c r="F1112" s="26">
        <f t="shared" si="1"/>
        <v>45605</v>
      </c>
    </row>
    <row r="1113">
      <c r="A1113" s="11" t="s">
        <v>4800</v>
      </c>
      <c r="B1113" s="25" t="s">
        <v>4801</v>
      </c>
      <c r="C1113" s="11" t="s">
        <v>2217</v>
      </c>
      <c r="D1113" s="11" t="s">
        <v>2218</v>
      </c>
      <c r="E1113" s="23" t="str">
        <f>IFERROR(__xludf.DUMMYFUNCTION("REGEXEXTRACT(TO_TEXT(A1113), ""(\d{2}/\d{2}/\d{4})"")"),"12/11/2024")</f>
        <v>12/11/2024</v>
      </c>
      <c r="F1113" s="26">
        <f t="shared" si="1"/>
        <v>45608</v>
      </c>
    </row>
    <row r="1114">
      <c r="A1114" s="10" t="s">
        <v>4802</v>
      </c>
      <c r="B1114" s="25" t="s">
        <v>4803</v>
      </c>
      <c r="C1114" s="10" t="s">
        <v>2219</v>
      </c>
      <c r="D1114" s="10" t="s">
        <v>2220</v>
      </c>
      <c r="E1114" s="23" t="str">
        <f>IFERROR(__xludf.DUMMYFUNCTION("REGEXEXTRACT(TO_TEXT(A1114), ""(\d{2}/\d{2}/\d{4})"")"),"14/11/2024")</f>
        <v>14/11/2024</v>
      </c>
      <c r="F1114" s="26">
        <f t="shared" si="1"/>
        <v>45610</v>
      </c>
    </row>
    <row r="1115">
      <c r="A1115" s="11" t="s">
        <v>4804</v>
      </c>
      <c r="B1115" s="25" t="s">
        <v>4805</v>
      </c>
      <c r="C1115" s="11" t="s">
        <v>2221</v>
      </c>
      <c r="D1115" s="11" t="s">
        <v>2222</v>
      </c>
      <c r="E1115" s="23" t="str">
        <f>IFERROR(__xludf.DUMMYFUNCTION("REGEXEXTRACT(TO_TEXT(A1115), ""(\d{2}/\d{2}/\d{4})"")"),"16/11/2024")</f>
        <v>16/11/2024</v>
      </c>
      <c r="F1115" s="26">
        <f t="shared" si="1"/>
        <v>45612</v>
      </c>
    </row>
    <row r="1116">
      <c r="A1116" s="10" t="s">
        <v>4806</v>
      </c>
      <c r="B1116" s="25" t="s">
        <v>4807</v>
      </c>
      <c r="C1116" s="10" t="s">
        <v>2223</v>
      </c>
      <c r="D1116" s="12" t="s">
        <v>2224</v>
      </c>
      <c r="E1116" s="23" t="str">
        <f>IFERROR(__xludf.DUMMYFUNCTION("REGEXEXTRACT(TO_TEXT(A1116), ""(\d{2}/\d{2}/\d{4})"")"),"19/11/2024")</f>
        <v>19/11/2024</v>
      </c>
      <c r="F1116" s="26">
        <f t="shared" si="1"/>
        <v>45615</v>
      </c>
    </row>
    <row r="1117">
      <c r="A1117" s="11" t="s">
        <v>4808</v>
      </c>
      <c r="B1117" s="25" t="s">
        <v>4809</v>
      </c>
      <c r="C1117" s="11" t="s">
        <v>2225</v>
      </c>
      <c r="D1117" s="11" t="s">
        <v>2226</v>
      </c>
      <c r="E1117" s="23" t="str">
        <f>IFERROR(__xludf.DUMMYFUNCTION("REGEXEXTRACT(TO_TEXT(A1117), ""(\d{2}/\d{2}/\d{4})"")"),"21/11/2024")</f>
        <v>21/11/2024</v>
      </c>
      <c r="F1117" s="26">
        <f t="shared" si="1"/>
        <v>45617</v>
      </c>
    </row>
    <row r="1118">
      <c r="A1118" s="10" t="s">
        <v>4810</v>
      </c>
      <c r="B1118" s="25" t="s">
        <v>4811</v>
      </c>
      <c r="C1118" s="10" t="s">
        <v>2227</v>
      </c>
      <c r="D1118" s="10" t="s">
        <v>2228</v>
      </c>
      <c r="E1118" s="23" t="str">
        <f>IFERROR(__xludf.DUMMYFUNCTION("REGEXEXTRACT(TO_TEXT(A1118), ""(\d{2}/\d{2}/\d{4})"")"),"23/11/2024")</f>
        <v>23/11/2024</v>
      </c>
      <c r="F1118" s="26">
        <f t="shared" si="1"/>
        <v>45619</v>
      </c>
    </row>
    <row r="1119">
      <c r="A1119" s="11" t="s">
        <v>4812</v>
      </c>
      <c r="B1119" s="25" t="s">
        <v>4813</v>
      </c>
      <c r="C1119" s="11" t="s">
        <v>2229</v>
      </c>
      <c r="D1119" s="13" t="s">
        <v>2230</v>
      </c>
      <c r="E1119" s="23" t="str">
        <f>IFERROR(__xludf.DUMMYFUNCTION("REGEXEXTRACT(TO_TEXT(A1119), ""(\d{2}/\d{2}/\d{4})"")"),"26/11/2024")</f>
        <v>26/11/2024</v>
      </c>
      <c r="F1119" s="26">
        <f t="shared" si="1"/>
        <v>45622</v>
      </c>
    </row>
    <row r="1120">
      <c r="A1120" s="10" t="s">
        <v>4814</v>
      </c>
      <c r="B1120" s="25" t="s">
        <v>4815</v>
      </c>
      <c r="C1120" s="10" t="s">
        <v>2231</v>
      </c>
      <c r="D1120" s="10" t="s">
        <v>2232</v>
      </c>
      <c r="E1120" s="23" t="str">
        <f>IFERROR(__xludf.DUMMYFUNCTION("REGEXEXTRACT(TO_TEXT(A1120), ""(\d{2}/\d{2}/\d{4})"")"),"28/11/2024")</f>
        <v>28/11/2024</v>
      </c>
      <c r="F1120" s="26">
        <f t="shared" si="1"/>
        <v>45624</v>
      </c>
    </row>
    <row r="1121">
      <c r="A1121" s="11" t="s">
        <v>4816</v>
      </c>
      <c r="B1121" s="25" t="s">
        <v>4817</v>
      </c>
      <c r="C1121" s="11" t="s">
        <v>2233</v>
      </c>
      <c r="D1121" s="11" t="s">
        <v>2234</v>
      </c>
      <c r="E1121" s="23" t="str">
        <f>IFERROR(__xludf.DUMMYFUNCTION("REGEXEXTRACT(TO_TEXT(A1121), ""(\d{2}/\d{2}/\d{4})"")"),"30/11/2024")</f>
        <v>30/11/2024</v>
      </c>
      <c r="F1121" s="26">
        <f t="shared" si="1"/>
        <v>45626</v>
      </c>
    </row>
    <row r="1122">
      <c r="A1122" s="10" t="s">
        <v>4818</v>
      </c>
      <c r="B1122" s="25" t="s">
        <v>4819</v>
      </c>
      <c r="C1122" s="10" t="s">
        <v>2235</v>
      </c>
      <c r="D1122" s="10" t="s">
        <v>2236</v>
      </c>
      <c r="E1122" s="23" t="str">
        <f>IFERROR(__xludf.DUMMYFUNCTION("REGEXEXTRACT(TO_TEXT(A1122), ""(\d{2}/\d{2}/\d{4})"")"),"03/12/2024")</f>
        <v>03/12/2024</v>
      </c>
      <c r="F1122" s="26">
        <f t="shared" si="1"/>
        <v>45629</v>
      </c>
    </row>
    <row r="1123">
      <c r="A1123" s="11" t="s">
        <v>4820</v>
      </c>
      <c r="B1123" s="25" t="s">
        <v>4821</v>
      </c>
      <c r="C1123" s="11" t="s">
        <v>2237</v>
      </c>
      <c r="D1123" s="11" t="s">
        <v>2238</v>
      </c>
      <c r="E1123" s="23" t="str">
        <f>IFERROR(__xludf.DUMMYFUNCTION("REGEXEXTRACT(TO_TEXT(A1123), ""(\d{2}/\d{2}/\d{4})"")"),"05/12/2024")</f>
        <v>05/12/2024</v>
      </c>
      <c r="F1123" s="26">
        <f t="shared" si="1"/>
        <v>45631</v>
      </c>
    </row>
    <row r="1124">
      <c r="A1124" s="10" t="s">
        <v>4822</v>
      </c>
      <c r="B1124" s="25" t="s">
        <v>4823</v>
      </c>
      <c r="C1124" s="10" t="s">
        <v>2239</v>
      </c>
      <c r="D1124" s="10" t="s">
        <v>2240</v>
      </c>
      <c r="E1124" s="23" t="str">
        <f>IFERROR(__xludf.DUMMYFUNCTION("REGEXEXTRACT(TO_TEXT(A1124), ""(\d{2}/\d{2}/\d{4})"")"),"07/12/2024")</f>
        <v>07/12/2024</v>
      </c>
      <c r="F1124" s="26">
        <f t="shared" si="1"/>
        <v>45633</v>
      </c>
    </row>
    <row r="1125">
      <c r="A1125" s="11" t="s">
        <v>4824</v>
      </c>
      <c r="B1125" s="25" t="s">
        <v>4825</v>
      </c>
      <c r="C1125" s="11" t="s">
        <v>2241</v>
      </c>
      <c r="D1125" s="11" t="s">
        <v>2242</v>
      </c>
      <c r="E1125" s="23" t="str">
        <f>IFERROR(__xludf.DUMMYFUNCTION("REGEXEXTRACT(TO_TEXT(A1125), ""(\d{2}/\d{2}/\d{4})"")"),"10/12/2024")</f>
        <v>10/12/2024</v>
      </c>
      <c r="F1125" s="26">
        <f t="shared" si="1"/>
        <v>45636</v>
      </c>
    </row>
    <row r="1126">
      <c r="A1126" s="10" t="s">
        <v>4826</v>
      </c>
      <c r="B1126" s="25" t="s">
        <v>4827</v>
      </c>
      <c r="C1126" s="10" t="s">
        <v>2243</v>
      </c>
      <c r="D1126" s="12" t="s">
        <v>2244</v>
      </c>
      <c r="E1126" s="23" t="str">
        <f>IFERROR(__xludf.DUMMYFUNCTION("REGEXEXTRACT(TO_TEXT(A1126), ""(\d{2}/\d{2}/\d{4})"")"),"12/12/2024")</f>
        <v>12/12/2024</v>
      </c>
      <c r="F1126" s="26">
        <f t="shared" si="1"/>
        <v>45638</v>
      </c>
    </row>
    <row r="1127">
      <c r="A1127" s="11" t="s">
        <v>4828</v>
      </c>
      <c r="B1127" s="25" t="s">
        <v>4829</v>
      </c>
      <c r="C1127" s="11" t="s">
        <v>2245</v>
      </c>
      <c r="D1127" s="13" t="s">
        <v>2246</v>
      </c>
      <c r="E1127" s="23" t="str">
        <f>IFERROR(__xludf.DUMMYFUNCTION("REGEXEXTRACT(TO_TEXT(A1127), ""(\d{2}/\d{2}/\d{4})"")"),"14/12/2024")</f>
        <v>14/12/2024</v>
      </c>
      <c r="F1127" s="26">
        <f t="shared" si="1"/>
        <v>45640</v>
      </c>
    </row>
    <row r="1128">
      <c r="A1128" s="10" t="s">
        <v>4830</v>
      </c>
      <c r="B1128" s="25" t="s">
        <v>4831</v>
      </c>
      <c r="C1128" s="10" t="s">
        <v>2247</v>
      </c>
      <c r="D1128" s="10" t="s">
        <v>2248</v>
      </c>
      <c r="E1128" s="23" t="str">
        <f>IFERROR(__xludf.DUMMYFUNCTION("REGEXEXTRACT(TO_TEXT(A1128), ""(\d{2}/\d{2}/\d{4})"")"),"17/12/2024")</f>
        <v>17/12/2024</v>
      </c>
      <c r="F1128" s="26">
        <f t="shared" si="1"/>
        <v>45643</v>
      </c>
    </row>
    <row r="1129">
      <c r="A1129" s="11" t="s">
        <v>4832</v>
      </c>
      <c r="B1129" s="25" t="s">
        <v>4833</v>
      </c>
      <c r="C1129" s="11" t="s">
        <v>2249</v>
      </c>
      <c r="D1129" s="13" t="s">
        <v>2250</v>
      </c>
      <c r="E1129" s="23" t="str">
        <f>IFERROR(__xludf.DUMMYFUNCTION("REGEXEXTRACT(TO_TEXT(A1129), ""(\d{2}/\d{2}/\d{4})"")"),"19/12/2024")</f>
        <v>19/12/2024</v>
      </c>
      <c r="F1129" s="26">
        <f t="shared" si="1"/>
        <v>45645</v>
      </c>
    </row>
    <row r="1130">
      <c r="A1130" s="10" t="s">
        <v>4834</v>
      </c>
      <c r="B1130" s="25" t="s">
        <v>4835</v>
      </c>
      <c r="C1130" s="10" t="s">
        <v>2251</v>
      </c>
      <c r="D1130" s="12" t="s">
        <v>2252</v>
      </c>
      <c r="E1130" s="23" t="str">
        <f>IFERROR(__xludf.DUMMYFUNCTION("REGEXEXTRACT(TO_TEXT(A1130), ""(\d{2}/\d{2}/\d{4})"")"),"21/12/2024")</f>
        <v>21/12/2024</v>
      </c>
      <c r="F1130" s="26">
        <f t="shared" si="1"/>
        <v>45647</v>
      </c>
    </row>
    <row r="1131">
      <c r="A1131" s="11" t="s">
        <v>4836</v>
      </c>
      <c r="B1131" s="25" t="s">
        <v>4837</v>
      </c>
      <c r="C1131" s="13" t="s">
        <v>2253</v>
      </c>
      <c r="D1131" s="11" t="s">
        <v>2254</v>
      </c>
      <c r="E1131" s="23" t="str">
        <f>IFERROR(__xludf.DUMMYFUNCTION("REGEXEXTRACT(TO_TEXT(A1131), ""(\d{2}/\d{2}/\d{4})"")"),"24/12/2024")</f>
        <v>24/12/2024</v>
      </c>
      <c r="F1131" s="26">
        <f t="shared" si="1"/>
        <v>45650</v>
      </c>
    </row>
    <row r="1132">
      <c r="A1132" s="10" t="s">
        <v>4838</v>
      </c>
      <c r="B1132" s="25" t="s">
        <v>4839</v>
      </c>
      <c r="C1132" s="10" t="s">
        <v>2255</v>
      </c>
      <c r="D1132" s="12" t="s">
        <v>2256</v>
      </c>
      <c r="E1132" s="23" t="str">
        <f>IFERROR(__xludf.DUMMYFUNCTION("REGEXEXTRACT(TO_TEXT(A1132), ""(\d{2}/\d{2}/\d{4})"")"),"26/12/2024")</f>
        <v>26/12/2024</v>
      </c>
      <c r="F1132" s="26">
        <f t="shared" si="1"/>
        <v>45652</v>
      </c>
    </row>
    <row r="1133">
      <c r="A1133" s="11" t="s">
        <v>4840</v>
      </c>
      <c r="B1133" s="25" t="s">
        <v>4841</v>
      </c>
      <c r="C1133" s="11" t="s">
        <v>2257</v>
      </c>
      <c r="D1133" s="11" t="s">
        <v>2258</v>
      </c>
      <c r="E1133" s="23" t="str">
        <f>IFERROR(__xludf.DUMMYFUNCTION("REGEXEXTRACT(TO_TEXT(A1133), ""(\d{2}/\d{2}/\d{4})"")"),"28/12/2024")</f>
        <v>28/12/2024</v>
      </c>
      <c r="F1133" s="26">
        <f t="shared" si="1"/>
        <v>45654</v>
      </c>
    </row>
    <row r="1134">
      <c r="A1134" s="10" t="s">
        <v>4842</v>
      </c>
      <c r="B1134" s="25" t="s">
        <v>4843</v>
      </c>
      <c r="C1134" s="10" t="s">
        <v>2259</v>
      </c>
      <c r="D1134" s="10" t="s">
        <v>2260</v>
      </c>
      <c r="E1134" s="23" t="str">
        <f>IFERROR(__xludf.DUMMYFUNCTION("REGEXEXTRACT(TO_TEXT(A1134), ""(\d{2}/\d{2}/\d{4})"")"),"31/12/2024")</f>
        <v>31/12/2024</v>
      </c>
      <c r="F1134" s="26">
        <f t="shared" si="1"/>
        <v>45657</v>
      </c>
    </row>
    <row r="1135">
      <c r="A1135" s="11" t="s">
        <v>4844</v>
      </c>
      <c r="B1135" s="25" t="s">
        <v>4845</v>
      </c>
      <c r="C1135" s="11" t="s">
        <v>2261</v>
      </c>
      <c r="D1135" s="13" t="s">
        <v>2262</v>
      </c>
      <c r="E1135" s="23" t="str">
        <f>IFERROR(__xludf.DUMMYFUNCTION("REGEXEXTRACT(TO_TEXT(A1135), ""(\d{2}/\d{2}/\d{4})"")"),"02/01/2025")</f>
        <v>02/01/2025</v>
      </c>
      <c r="F1135" s="26">
        <f t="shared" si="1"/>
        <v>45659</v>
      </c>
    </row>
    <row r="1136">
      <c r="A1136" s="10" t="s">
        <v>4846</v>
      </c>
      <c r="B1136" s="25" t="s">
        <v>4847</v>
      </c>
      <c r="C1136" s="10" t="s">
        <v>2263</v>
      </c>
      <c r="D1136" s="10" t="s">
        <v>2264</v>
      </c>
      <c r="E1136" s="23" t="str">
        <f>IFERROR(__xludf.DUMMYFUNCTION("REGEXEXTRACT(TO_TEXT(A1136), ""(\d{2}/\d{2}/\d{4})"")"),"04/01/2025")</f>
        <v>04/01/2025</v>
      </c>
      <c r="F1136" s="26">
        <f t="shared" si="1"/>
        <v>45661</v>
      </c>
    </row>
    <row r="1137">
      <c r="A1137" s="11" t="s">
        <v>4848</v>
      </c>
      <c r="B1137" s="25" t="s">
        <v>4849</v>
      </c>
      <c r="C1137" s="11" t="s">
        <v>2265</v>
      </c>
      <c r="D1137" s="11" t="s">
        <v>2266</v>
      </c>
      <c r="E1137" s="23" t="str">
        <f>IFERROR(__xludf.DUMMYFUNCTION("REGEXEXTRACT(TO_TEXT(A1137), ""(\d{2}/\d{2}/\d{4})"")"),"07/01/2025")</f>
        <v>07/01/2025</v>
      </c>
      <c r="F1137" s="26">
        <f t="shared" si="1"/>
        <v>45664</v>
      </c>
    </row>
    <row r="1138">
      <c r="A1138" s="10" t="s">
        <v>4850</v>
      </c>
      <c r="B1138" s="25" t="s">
        <v>4851</v>
      </c>
      <c r="C1138" s="10" t="s">
        <v>2267</v>
      </c>
      <c r="D1138" s="10" t="s">
        <v>2268</v>
      </c>
      <c r="E1138" s="23" t="str">
        <f>IFERROR(__xludf.DUMMYFUNCTION("REGEXEXTRACT(TO_TEXT(A1138), ""(\d{2}/\d{2}/\d{4})"")"),"09/01/2025")</f>
        <v>09/01/2025</v>
      </c>
      <c r="F1138" s="26">
        <f t="shared" si="1"/>
        <v>45666</v>
      </c>
    </row>
    <row r="1139">
      <c r="A1139" s="11" t="s">
        <v>4852</v>
      </c>
      <c r="B1139" s="25" t="s">
        <v>4853</v>
      </c>
      <c r="C1139" s="11" t="s">
        <v>2269</v>
      </c>
      <c r="D1139" s="11" t="s">
        <v>2270</v>
      </c>
      <c r="E1139" s="23" t="str">
        <f>IFERROR(__xludf.DUMMYFUNCTION("REGEXEXTRACT(TO_TEXT(A1139), ""(\d{2}/\d{2}/\d{4})"")"),"11/01/2025")</f>
        <v>11/01/2025</v>
      </c>
      <c r="F1139" s="26">
        <f t="shared" si="1"/>
        <v>45668</v>
      </c>
    </row>
    <row r="1140">
      <c r="A1140" s="10" t="s">
        <v>4854</v>
      </c>
      <c r="B1140" s="25" t="s">
        <v>4855</v>
      </c>
      <c r="C1140" s="12" t="s">
        <v>2271</v>
      </c>
      <c r="D1140" s="10" t="s">
        <v>2272</v>
      </c>
      <c r="E1140" s="23" t="str">
        <f>IFERROR(__xludf.DUMMYFUNCTION("REGEXEXTRACT(TO_TEXT(A1140), ""(\d{2}/\d{2}/\d{4})"")"),"14/01/2025")</f>
        <v>14/01/2025</v>
      </c>
      <c r="F1140" s="26">
        <f t="shared" si="1"/>
        <v>45671</v>
      </c>
    </row>
    <row r="1141">
      <c r="A1141" s="11" t="s">
        <v>4856</v>
      </c>
      <c r="B1141" s="25" t="s">
        <v>4857</v>
      </c>
      <c r="C1141" s="11" t="s">
        <v>2273</v>
      </c>
      <c r="D1141" s="11" t="s">
        <v>2274</v>
      </c>
      <c r="E1141" s="23" t="str">
        <f>IFERROR(__xludf.DUMMYFUNCTION("REGEXEXTRACT(TO_TEXT(A1141), ""(\d{2}/\d{2}/\d{4})"")"),"16/01/2025")</f>
        <v>16/01/2025</v>
      </c>
      <c r="F1141" s="26">
        <f t="shared" si="1"/>
        <v>45673</v>
      </c>
    </row>
    <row r="1142">
      <c r="A1142" s="10" t="s">
        <v>4858</v>
      </c>
      <c r="B1142" s="25" t="s">
        <v>4859</v>
      </c>
      <c r="C1142" s="10" t="s">
        <v>2275</v>
      </c>
      <c r="D1142" s="10" t="s">
        <v>2276</v>
      </c>
      <c r="E1142" s="23" t="str">
        <f>IFERROR(__xludf.DUMMYFUNCTION("REGEXEXTRACT(TO_TEXT(A1142), ""(\d{2}/\d{2}/\d{4})"")"),"18/01/2025")</f>
        <v>18/01/2025</v>
      </c>
      <c r="F1142" s="26">
        <f t="shared" si="1"/>
        <v>45675</v>
      </c>
    </row>
    <row r="1143">
      <c r="A1143" s="11" t="s">
        <v>4860</v>
      </c>
      <c r="B1143" s="25" t="s">
        <v>4861</v>
      </c>
      <c r="C1143" s="11" t="s">
        <v>2277</v>
      </c>
      <c r="D1143" s="11" t="s">
        <v>2278</v>
      </c>
      <c r="E1143" s="23" t="str">
        <f>IFERROR(__xludf.DUMMYFUNCTION("REGEXEXTRACT(TO_TEXT(A1143), ""(\d{2}/\d{2}/\d{4})"")"),"21/01/2025")</f>
        <v>21/01/2025</v>
      </c>
      <c r="F1143" s="26">
        <f t="shared" si="1"/>
        <v>45678</v>
      </c>
    </row>
    <row r="1144">
      <c r="A1144" s="10" t="s">
        <v>4862</v>
      </c>
      <c r="B1144" s="25" t="s">
        <v>4863</v>
      </c>
      <c r="C1144" s="10" t="s">
        <v>2279</v>
      </c>
      <c r="D1144" s="10" t="s">
        <v>2280</v>
      </c>
      <c r="E1144" s="23" t="str">
        <f>IFERROR(__xludf.DUMMYFUNCTION("REGEXEXTRACT(TO_TEXT(A1144), ""(\d{2}/\d{2}/\d{4})"")"),"23/01/2025")</f>
        <v>23/01/2025</v>
      </c>
      <c r="F1144" s="26">
        <f t="shared" si="1"/>
        <v>45680</v>
      </c>
    </row>
    <row r="1145">
      <c r="A1145" s="11" t="s">
        <v>4864</v>
      </c>
      <c r="B1145" s="25" t="s">
        <v>4865</v>
      </c>
      <c r="C1145" s="11" t="s">
        <v>2281</v>
      </c>
      <c r="D1145" s="11" t="s">
        <v>2282</v>
      </c>
      <c r="E1145" s="23" t="str">
        <f>IFERROR(__xludf.DUMMYFUNCTION("REGEXEXTRACT(TO_TEXT(A1145), ""(\d{2}/\d{2}/\d{4})"")"),"25/01/2025")</f>
        <v>25/01/2025</v>
      </c>
      <c r="F1145" s="26">
        <f t="shared" si="1"/>
        <v>45682</v>
      </c>
    </row>
    <row r="1146">
      <c r="A1146" s="10" t="s">
        <v>4866</v>
      </c>
      <c r="B1146" s="25" t="s">
        <v>4867</v>
      </c>
      <c r="C1146" s="10" t="s">
        <v>2283</v>
      </c>
      <c r="D1146" s="10" t="s">
        <v>2284</v>
      </c>
      <c r="E1146" s="23" t="str">
        <f>IFERROR(__xludf.DUMMYFUNCTION("REGEXEXTRACT(TO_TEXT(A1146), ""(\d{2}/\d{2}/\d{4})"")"),"30/01/2025")</f>
        <v>30/01/2025</v>
      </c>
      <c r="F1146" s="26">
        <f t="shared" si="1"/>
        <v>45687</v>
      </c>
    </row>
    <row r="1147">
      <c r="A1147" s="11" t="s">
        <v>4868</v>
      </c>
      <c r="B1147" s="25" t="s">
        <v>4869</v>
      </c>
      <c r="C1147" s="11" t="s">
        <v>2285</v>
      </c>
      <c r="D1147" s="11" t="s">
        <v>2286</v>
      </c>
      <c r="E1147" s="23" t="str">
        <f>IFERROR(__xludf.DUMMYFUNCTION("REGEXEXTRACT(TO_TEXT(A1147), ""(\d{2}/\d{2}/\d{4})"")"),"01/02/2025")</f>
        <v>01/02/2025</v>
      </c>
      <c r="F1147" s="26">
        <f t="shared" si="1"/>
        <v>45689</v>
      </c>
    </row>
    <row r="1148">
      <c r="A1148" s="10" t="s">
        <v>4870</v>
      </c>
      <c r="B1148" s="25" t="s">
        <v>4871</v>
      </c>
      <c r="C1148" s="10" t="s">
        <v>2287</v>
      </c>
      <c r="D1148" s="10" t="s">
        <v>2288</v>
      </c>
      <c r="E1148" s="23" t="str">
        <f>IFERROR(__xludf.DUMMYFUNCTION("REGEXEXTRACT(TO_TEXT(A1148), ""(\d{2}/\d{2}/\d{4})"")"),"04/02/2025")</f>
        <v>04/02/2025</v>
      </c>
      <c r="F1148" s="26">
        <f t="shared" si="1"/>
        <v>45692</v>
      </c>
    </row>
    <row r="1149">
      <c r="A1149" s="11" t="s">
        <v>4872</v>
      </c>
      <c r="B1149" s="25" t="s">
        <v>4873</v>
      </c>
      <c r="C1149" s="11" t="s">
        <v>2289</v>
      </c>
      <c r="D1149" s="11" t="s">
        <v>2290</v>
      </c>
      <c r="E1149" s="23" t="str">
        <f>IFERROR(__xludf.DUMMYFUNCTION("REGEXEXTRACT(TO_TEXT(A1149), ""(\d{2}/\d{2}/\d{4})"")"),"06/02/2025")</f>
        <v>06/02/2025</v>
      </c>
      <c r="F1149" s="26">
        <f t="shared" si="1"/>
        <v>45694</v>
      </c>
    </row>
    <row r="1150">
      <c r="A1150" s="10" t="s">
        <v>4874</v>
      </c>
      <c r="B1150" s="25" t="s">
        <v>4875</v>
      </c>
      <c r="C1150" s="10" t="s">
        <v>2291</v>
      </c>
      <c r="D1150" s="10" t="s">
        <v>2292</v>
      </c>
      <c r="E1150" s="23" t="str">
        <f>IFERROR(__xludf.DUMMYFUNCTION("REGEXEXTRACT(TO_TEXT(A1150), ""(\d{2}/\d{2}/\d{4})"")"),"08/02/2025")</f>
        <v>08/02/2025</v>
      </c>
      <c r="F1150" s="26">
        <f t="shared" si="1"/>
        <v>45696</v>
      </c>
    </row>
    <row r="1151">
      <c r="A1151" s="11" t="s">
        <v>4876</v>
      </c>
      <c r="B1151" s="25" t="s">
        <v>4877</v>
      </c>
      <c r="C1151" s="11" t="s">
        <v>2293</v>
      </c>
      <c r="D1151" s="11" t="s">
        <v>2294</v>
      </c>
      <c r="E1151" s="23" t="str">
        <f>IFERROR(__xludf.DUMMYFUNCTION("REGEXEXTRACT(TO_TEXT(A1151), ""(\d{2}/\d{2}/\d{4})"")"),"11/02/2025")</f>
        <v>11/02/2025</v>
      </c>
      <c r="F1151" s="26">
        <f t="shared" si="1"/>
        <v>45699</v>
      </c>
    </row>
    <row r="1152">
      <c r="A1152" s="10" t="s">
        <v>4878</v>
      </c>
      <c r="B1152" s="25" t="s">
        <v>4879</v>
      </c>
      <c r="C1152" s="10" t="s">
        <v>2295</v>
      </c>
      <c r="D1152" s="10" t="s">
        <v>2296</v>
      </c>
      <c r="E1152" s="23" t="str">
        <f>IFERROR(__xludf.DUMMYFUNCTION("REGEXEXTRACT(TO_TEXT(A1152), ""(\d{2}/\d{2}/\d{4})"")"),"13/02/2025")</f>
        <v>13/02/2025</v>
      </c>
      <c r="F1152" s="26">
        <f t="shared" si="1"/>
        <v>45701</v>
      </c>
    </row>
    <row r="1153">
      <c r="A1153" s="11" t="s">
        <v>4880</v>
      </c>
      <c r="B1153" s="25" t="s">
        <v>4881</v>
      </c>
      <c r="C1153" s="11" t="s">
        <v>2297</v>
      </c>
      <c r="D1153" s="11" t="s">
        <v>2298</v>
      </c>
      <c r="E1153" s="23" t="str">
        <f>IFERROR(__xludf.DUMMYFUNCTION("REGEXEXTRACT(TO_TEXT(A1153), ""(\d{2}/\d{2}/\d{4})"")"),"15/02/2025")</f>
        <v>15/02/2025</v>
      </c>
      <c r="F1153" s="26">
        <f t="shared" si="1"/>
        <v>45703</v>
      </c>
    </row>
    <row r="1154">
      <c r="A1154" s="10" t="s">
        <v>4882</v>
      </c>
      <c r="B1154" s="25" t="s">
        <v>4883</v>
      </c>
      <c r="C1154" s="10" t="s">
        <v>2299</v>
      </c>
      <c r="D1154" s="12" t="s">
        <v>2300</v>
      </c>
      <c r="E1154" s="23" t="str">
        <f>IFERROR(__xludf.DUMMYFUNCTION("REGEXEXTRACT(TO_TEXT(A1154), ""(\d{2}/\d{2}/\d{4})"")"),"18/02/2025")</f>
        <v>18/02/2025</v>
      </c>
      <c r="F1154" s="26">
        <f t="shared" si="1"/>
        <v>45706</v>
      </c>
    </row>
    <row r="1155">
      <c r="A1155" s="11" t="s">
        <v>4884</v>
      </c>
      <c r="B1155" s="25" t="s">
        <v>4885</v>
      </c>
      <c r="C1155" s="11" t="s">
        <v>2301</v>
      </c>
      <c r="D1155" s="11" t="s">
        <v>2302</v>
      </c>
      <c r="E1155" s="23" t="str">
        <f>IFERROR(__xludf.DUMMYFUNCTION("REGEXEXTRACT(TO_TEXT(A1155), ""(\d{2}/\d{2}/\d{4})"")"),"20/02/2025")</f>
        <v>20/02/2025</v>
      </c>
      <c r="F1155" s="26">
        <f t="shared" si="1"/>
        <v>45708</v>
      </c>
    </row>
    <row r="1156">
      <c r="A1156" s="10" t="s">
        <v>4886</v>
      </c>
      <c r="B1156" s="25" t="s">
        <v>4887</v>
      </c>
      <c r="C1156" s="10" t="s">
        <v>2303</v>
      </c>
      <c r="D1156" s="10" t="s">
        <v>2304</v>
      </c>
      <c r="E1156" s="23" t="str">
        <f>IFERROR(__xludf.DUMMYFUNCTION("REGEXEXTRACT(TO_TEXT(A1156), ""(\d{2}/\d{2}/\d{4})"")"),"22/02/2025")</f>
        <v>22/02/2025</v>
      </c>
      <c r="F1156" s="26">
        <f t="shared" si="1"/>
        <v>45710</v>
      </c>
    </row>
    <row r="1157">
      <c r="A1157" s="11" t="s">
        <v>4888</v>
      </c>
      <c r="B1157" s="25" t="s">
        <v>4889</v>
      </c>
      <c r="C1157" s="11" t="s">
        <v>2305</v>
      </c>
      <c r="D1157" s="13" t="s">
        <v>2306</v>
      </c>
      <c r="E1157" s="23" t="str">
        <f>IFERROR(__xludf.DUMMYFUNCTION("REGEXEXTRACT(TO_TEXT(A1157), ""(\d{2}/\d{2}/\d{4})"")"),"25/02/2025")</f>
        <v>25/02/2025</v>
      </c>
      <c r="F1157" s="26">
        <f t="shared" si="1"/>
        <v>45713</v>
      </c>
    </row>
    <row r="1158">
      <c r="A1158" s="10" t="s">
        <v>4890</v>
      </c>
      <c r="B1158" s="25" t="s">
        <v>4891</v>
      </c>
      <c r="C1158" s="10" t="s">
        <v>2307</v>
      </c>
      <c r="D1158" s="10" t="s">
        <v>2308</v>
      </c>
      <c r="E1158" s="23" t="str">
        <f>IFERROR(__xludf.DUMMYFUNCTION("REGEXEXTRACT(TO_TEXT(A1158), ""(\d{2}/\d{2}/\d{4})"")"),"27/02/2025")</f>
        <v>27/02/2025</v>
      </c>
      <c r="F1158" s="26">
        <f t="shared" si="1"/>
        <v>45715</v>
      </c>
    </row>
    <row r="1159">
      <c r="A1159" s="11" t="s">
        <v>4892</v>
      </c>
      <c r="B1159" s="25" t="s">
        <v>4893</v>
      </c>
      <c r="C1159" s="11" t="s">
        <v>2309</v>
      </c>
      <c r="D1159" s="13" t="s">
        <v>2310</v>
      </c>
      <c r="E1159" s="23" t="str">
        <f>IFERROR(__xludf.DUMMYFUNCTION("REGEXEXTRACT(TO_TEXT(A1159), ""(\d{2}/\d{2}/\d{4})"")"),"01/03/2025")</f>
        <v>01/03/2025</v>
      </c>
      <c r="F1159" s="26">
        <f t="shared" si="1"/>
        <v>45717</v>
      </c>
    </row>
    <row r="1160">
      <c r="A1160" s="10" t="s">
        <v>4894</v>
      </c>
      <c r="B1160" s="25" t="s">
        <v>4895</v>
      </c>
      <c r="C1160" s="10" t="s">
        <v>2311</v>
      </c>
      <c r="D1160" s="12" t="s">
        <v>2312</v>
      </c>
      <c r="E1160" s="23" t="str">
        <f>IFERROR(__xludf.DUMMYFUNCTION("REGEXEXTRACT(TO_TEXT(A1160), ""(\d{2}/\d{2}/\d{4})"")"),"04/03/2025")</f>
        <v>04/03/2025</v>
      </c>
      <c r="F1160" s="26">
        <f t="shared" si="1"/>
        <v>45720</v>
      </c>
    </row>
    <row r="1161">
      <c r="A1161" s="11" t="s">
        <v>4896</v>
      </c>
      <c r="B1161" s="25" t="s">
        <v>4897</v>
      </c>
      <c r="C1161" s="11" t="s">
        <v>2313</v>
      </c>
      <c r="D1161" s="13" t="s">
        <v>2314</v>
      </c>
      <c r="E1161" s="23" t="str">
        <f>IFERROR(__xludf.DUMMYFUNCTION("REGEXEXTRACT(TO_TEXT(A1161), ""(\d{2}/\d{2}/\d{4})"")"),"06/03/2025")</f>
        <v>06/03/2025</v>
      </c>
      <c r="F1161" s="26">
        <f t="shared" si="1"/>
        <v>45722</v>
      </c>
    </row>
    <row r="1162">
      <c r="A1162" s="10" t="s">
        <v>4898</v>
      </c>
      <c r="B1162" s="25" t="s">
        <v>4899</v>
      </c>
      <c r="C1162" s="10" t="s">
        <v>2315</v>
      </c>
      <c r="D1162" s="12" t="s">
        <v>2316</v>
      </c>
      <c r="E1162" s="23" t="str">
        <f>IFERROR(__xludf.DUMMYFUNCTION("REGEXEXTRACT(TO_TEXT(A1162), ""(\d{2}/\d{2}/\d{4})"")"),"08/03/2025")</f>
        <v>08/03/2025</v>
      </c>
      <c r="F1162" s="26">
        <f t="shared" si="1"/>
        <v>45724</v>
      </c>
    </row>
    <row r="1163">
      <c r="A1163" s="11" t="s">
        <v>4900</v>
      </c>
      <c r="B1163" s="25" t="s">
        <v>4901</v>
      </c>
      <c r="C1163" s="11" t="s">
        <v>2317</v>
      </c>
      <c r="D1163" s="11" t="s">
        <v>2318</v>
      </c>
      <c r="E1163" s="23" t="str">
        <f>IFERROR(__xludf.DUMMYFUNCTION("REGEXEXTRACT(TO_TEXT(A1163), ""(\d{2}/\d{2}/\d{4})"")"),"11/03/2025")</f>
        <v>11/03/2025</v>
      </c>
      <c r="F1163" s="26">
        <f t="shared" si="1"/>
        <v>45727</v>
      </c>
    </row>
    <row r="1164">
      <c r="A1164" s="10" t="s">
        <v>4902</v>
      </c>
      <c r="B1164" s="25" t="s">
        <v>4903</v>
      </c>
      <c r="C1164" s="10" t="s">
        <v>2319</v>
      </c>
      <c r="D1164" s="10" t="s">
        <v>2320</v>
      </c>
      <c r="E1164" s="23" t="str">
        <f>IFERROR(__xludf.DUMMYFUNCTION("REGEXEXTRACT(TO_TEXT(A1164), ""(\d{2}/\d{2}/\d{4})"")"),"13/03/2025")</f>
        <v>13/03/2025</v>
      </c>
      <c r="F1164" s="26">
        <f t="shared" si="1"/>
        <v>45729</v>
      </c>
    </row>
    <row r="1165">
      <c r="A1165" s="11" t="s">
        <v>4904</v>
      </c>
      <c r="B1165" s="25" t="s">
        <v>4905</v>
      </c>
      <c r="C1165" s="11" t="s">
        <v>2321</v>
      </c>
      <c r="D1165" s="11" t="s">
        <v>2322</v>
      </c>
      <c r="E1165" s="23" t="str">
        <f>IFERROR(__xludf.DUMMYFUNCTION("REGEXEXTRACT(TO_TEXT(A1165), ""(\d{2}/\d{2}/\d{4})"")"),"15/03/2025")</f>
        <v>15/03/2025</v>
      </c>
      <c r="F1165" s="26">
        <f t="shared" si="1"/>
        <v>45731</v>
      </c>
    </row>
    <row r="1166">
      <c r="A1166" s="10" t="s">
        <v>4906</v>
      </c>
      <c r="B1166" s="25" t="s">
        <v>4907</v>
      </c>
      <c r="C1166" s="10" t="s">
        <v>2323</v>
      </c>
      <c r="D1166" s="10" t="s">
        <v>2324</v>
      </c>
      <c r="E1166" s="23" t="str">
        <f>IFERROR(__xludf.DUMMYFUNCTION("REGEXEXTRACT(TO_TEXT(A1166), ""(\d{2}/\d{2}/\d{4})"")"),"18/03/2025")</f>
        <v>18/03/2025</v>
      </c>
      <c r="F1166" s="26">
        <f t="shared" si="1"/>
        <v>45734</v>
      </c>
    </row>
    <row r="1167">
      <c r="A1167" s="11" t="s">
        <v>4908</v>
      </c>
      <c r="B1167" s="25" t="s">
        <v>4909</v>
      </c>
      <c r="C1167" s="11" t="s">
        <v>2325</v>
      </c>
      <c r="D1167" s="11" t="s">
        <v>2326</v>
      </c>
      <c r="E1167" s="23" t="str">
        <f>IFERROR(__xludf.DUMMYFUNCTION("REGEXEXTRACT(TO_TEXT(A1167), ""(\d{2}/\d{2}/\d{4})"")"),"20/03/2025")</f>
        <v>20/03/2025</v>
      </c>
      <c r="F1167" s="26">
        <f t="shared" si="1"/>
        <v>45736</v>
      </c>
    </row>
    <row r="1168">
      <c r="A1168" s="10" t="s">
        <v>4910</v>
      </c>
      <c r="B1168" s="25" t="s">
        <v>4911</v>
      </c>
      <c r="C1168" s="10" t="s">
        <v>2327</v>
      </c>
      <c r="D1168" s="10" t="s">
        <v>2328</v>
      </c>
      <c r="E1168" s="23" t="str">
        <f>IFERROR(__xludf.DUMMYFUNCTION("REGEXEXTRACT(TO_TEXT(A1168), ""(\d{2}/\d{2}/\d{4})"")"),"22/03/2025")</f>
        <v>22/03/2025</v>
      </c>
      <c r="F1168" s="26">
        <f t="shared" si="1"/>
        <v>45738</v>
      </c>
    </row>
    <row r="1169">
      <c r="A1169" s="11" t="s">
        <v>4912</v>
      </c>
      <c r="B1169" s="25" t="s">
        <v>4913</v>
      </c>
      <c r="C1169" s="11" t="s">
        <v>2329</v>
      </c>
      <c r="D1169" s="11" t="s">
        <v>2330</v>
      </c>
      <c r="E1169" s="23" t="str">
        <f>IFERROR(__xludf.DUMMYFUNCTION("REGEXEXTRACT(TO_TEXT(A1169), ""(\d{2}/\d{2}/\d{4})"")"),"25/03/2025")</f>
        <v>25/03/2025</v>
      </c>
      <c r="F1169" s="26">
        <f t="shared" si="1"/>
        <v>45741</v>
      </c>
    </row>
    <row r="1170">
      <c r="A1170" s="10" t="s">
        <v>4914</v>
      </c>
      <c r="B1170" s="25" t="s">
        <v>4915</v>
      </c>
      <c r="C1170" s="12" t="s">
        <v>2331</v>
      </c>
      <c r="D1170" s="10" t="s">
        <v>2332</v>
      </c>
      <c r="E1170" s="23" t="str">
        <f>IFERROR(__xludf.DUMMYFUNCTION("REGEXEXTRACT(TO_TEXT(A1170), ""(\d{2}/\d{2}/\d{4})"")"),"27/03/2025")</f>
        <v>27/03/2025</v>
      </c>
      <c r="F1170" s="26">
        <f t="shared" si="1"/>
        <v>45743</v>
      </c>
    </row>
    <row r="1171">
      <c r="A1171" s="11" t="s">
        <v>4916</v>
      </c>
      <c r="B1171" s="25" t="s">
        <v>4917</v>
      </c>
      <c r="C1171" s="11" t="s">
        <v>2333</v>
      </c>
      <c r="D1171" s="11" t="s">
        <v>2334</v>
      </c>
      <c r="E1171" s="23" t="str">
        <f>IFERROR(__xludf.DUMMYFUNCTION("REGEXEXTRACT(TO_TEXT(A1171), ""(\d{2}/\d{2}/\d{4})"")"),"29/03/2025")</f>
        <v>29/03/2025</v>
      </c>
      <c r="F1171" s="26">
        <f t="shared" si="1"/>
        <v>45745</v>
      </c>
    </row>
    <row r="1172">
      <c r="A1172" s="10" t="s">
        <v>4918</v>
      </c>
      <c r="B1172" s="25" t="s">
        <v>4919</v>
      </c>
      <c r="C1172" s="10" t="s">
        <v>2335</v>
      </c>
      <c r="D1172" s="12" t="s">
        <v>2336</v>
      </c>
      <c r="E1172" s="23" t="str">
        <f>IFERROR(__xludf.DUMMYFUNCTION("REGEXEXTRACT(TO_TEXT(A1172), ""(\d{2}/\d{2}/\d{4})"")"),"01/04/2025")</f>
        <v>01/04/2025</v>
      </c>
      <c r="F1172" s="26">
        <f t="shared" si="1"/>
        <v>45748</v>
      </c>
    </row>
    <row r="1173">
      <c r="A1173" s="11" t="s">
        <v>4920</v>
      </c>
      <c r="B1173" s="25" t="s">
        <v>4921</v>
      </c>
      <c r="C1173" s="11" t="s">
        <v>2337</v>
      </c>
      <c r="D1173" s="11" t="s">
        <v>2338</v>
      </c>
      <c r="E1173" s="23" t="str">
        <f>IFERROR(__xludf.DUMMYFUNCTION("REGEXEXTRACT(TO_TEXT(A1173), ""(\d{2}/\d{2}/\d{4})"")"),"03/04/2025")</f>
        <v>03/04/2025</v>
      </c>
      <c r="F1173" s="26">
        <f t="shared" si="1"/>
        <v>45750</v>
      </c>
    </row>
    <row r="1174">
      <c r="A1174" s="10" t="s">
        <v>4922</v>
      </c>
      <c r="B1174" s="25" t="s">
        <v>4923</v>
      </c>
      <c r="C1174" s="10" t="s">
        <v>2339</v>
      </c>
      <c r="D1174" s="10" t="s">
        <v>2340</v>
      </c>
      <c r="E1174" s="23" t="str">
        <f>IFERROR(__xludf.DUMMYFUNCTION("REGEXEXTRACT(TO_TEXT(A1174), ""(\d{2}/\d{2}/\d{4})"")"),"05/04/2025")</f>
        <v>05/04/2025</v>
      </c>
      <c r="F1174" s="26">
        <f t="shared" si="1"/>
        <v>45752</v>
      </c>
    </row>
    <row r="1175">
      <c r="A1175" s="11" t="s">
        <v>4924</v>
      </c>
      <c r="B1175" s="25" t="s">
        <v>4925</v>
      </c>
      <c r="C1175" s="11" t="s">
        <v>2341</v>
      </c>
      <c r="D1175" s="11" t="s">
        <v>2342</v>
      </c>
      <c r="E1175" s="23" t="str">
        <f>IFERROR(__xludf.DUMMYFUNCTION("REGEXEXTRACT(TO_TEXT(A1175), ""(\d{2}/\d{2}/\d{4})"")"),"08/04/2025")</f>
        <v>08/04/2025</v>
      </c>
      <c r="F1175" s="26">
        <f t="shared" si="1"/>
        <v>45755</v>
      </c>
    </row>
    <row r="1176">
      <c r="A1176" s="10" t="s">
        <v>4926</v>
      </c>
      <c r="B1176" s="25" t="s">
        <v>4927</v>
      </c>
      <c r="C1176" s="10" t="s">
        <v>2343</v>
      </c>
      <c r="D1176" s="10" t="s">
        <v>2344</v>
      </c>
      <c r="E1176" s="23" t="str">
        <f>IFERROR(__xludf.DUMMYFUNCTION("REGEXEXTRACT(TO_TEXT(A1176), ""(\d{2}/\d{2}/\d{4})"")"),"10/04/2025")</f>
        <v>10/04/2025</v>
      </c>
      <c r="F1176" s="26">
        <f t="shared" si="1"/>
        <v>45757</v>
      </c>
    </row>
    <row r="1177">
      <c r="A1177" s="11" t="s">
        <v>4928</v>
      </c>
      <c r="B1177" s="25" t="s">
        <v>4929</v>
      </c>
      <c r="C1177" s="11" t="s">
        <v>2345</v>
      </c>
      <c r="D1177" s="11" t="s">
        <v>2346</v>
      </c>
      <c r="E1177" s="23" t="str">
        <f>IFERROR(__xludf.DUMMYFUNCTION("REGEXEXTRACT(TO_TEXT(A1177), ""(\d{2}/\d{2}/\d{4})"")"),"12/04/2025")</f>
        <v>12/04/2025</v>
      </c>
      <c r="F1177" s="26">
        <f t="shared" si="1"/>
        <v>45759</v>
      </c>
    </row>
    <row r="1178">
      <c r="A1178" s="10" t="s">
        <v>4930</v>
      </c>
      <c r="B1178" s="25" t="s">
        <v>4931</v>
      </c>
      <c r="C1178" s="10" t="s">
        <v>2347</v>
      </c>
      <c r="D1178" s="10" t="s">
        <v>2348</v>
      </c>
      <c r="E1178" s="23" t="str">
        <f>IFERROR(__xludf.DUMMYFUNCTION("REGEXEXTRACT(TO_TEXT(A1178), ""(\d{2}/\d{2}/\d{4})"")"),"15/04/2025")</f>
        <v>15/04/2025</v>
      </c>
      <c r="F1178" s="26">
        <f t="shared" si="1"/>
        <v>45762</v>
      </c>
    </row>
    <row r="1179">
      <c r="A1179" s="11" t="s">
        <v>4932</v>
      </c>
      <c r="B1179" s="25" t="s">
        <v>4933</v>
      </c>
      <c r="C1179" s="11" t="s">
        <v>2349</v>
      </c>
      <c r="D1179" s="11" t="s">
        <v>2350</v>
      </c>
      <c r="E1179" s="23" t="str">
        <f>IFERROR(__xludf.DUMMYFUNCTION("REGEXEXTRACT(TO_TEXT(A1179), ""(\d{2}/\d{2}/\d{4})"")"),"17/04/2025")</f>
        <v>17/04/2025</v>
      </c>
      <c r="F1179" s="26">
        <f t="shared" si="1"/>
        <v>45764</v>
      </c>
    </row>
    <row r="1180">
      <c r="A1180" s="10" t="s">
        <v>4934</v>
      </c>
      <c r="B1180" s="25" t="s">
        <v>4935</v>
      </c>
      <c r="C1180" s="10" t="s">
        <v>2351</v>
      </c>
      <c r="D1180" s="10" t="s">
        <v>2352</v>
      </c>
      <c r="E1180" s="23" t="str">
        <f>IFERROR(__xludf.DUMMYFUNCTION("REGEXEXTRACT(TO_TEXT(A1180), ""(\d{2}/\d{2}/\d{4})"")"),"19/04/2025")</f>
        <v>19/04/2025</v>
      </c>
      <c r="F1180" s="26">
        <f t="shared" si="1"/>
        <v>45766</v>
      </c>
    </row>
    <row r="1181">
      <c r="A1181" s="11" t="s">
        <v>4936</v>
      </c>
      <c r="B1181" s="25" t="s">
        <v>4937</v>
      </c>
      <c r="C1181" s="11" t="s">
        <v>2353</v>
      </c>
      <c r="D1181" s="11" t="s">
        <v>2354</v>
      </c>
      <c r="E1181" s="23" t="str">
        <f>IFERROR(__xludf.DUMMYFUNCTION("REGEXEXTRACT(TO_TEXT(A1181), ""(\d{2}/\d{2}/\d{4})"")"),"22/04/2025")</f>
        <v>22/04/2025</v>
      </c>
      <c r="F1181" s="26">
        <f t="shared" si="1"/>
        <v>45769</v>
      </c>
    </row>
    <row r="1182">
      <c r="A1182" s="10" t="s">
        <v>4938</v>
      </c>
      <c r="B1182" s="25" t="s">
        <v>4939</v>
      </c>
      <c r="C1182" s="10" t="s">
        <v>2355</v>
      </c>
      <c r="D1182" s="10" t="s">
        <v>2356</v>
      </c>
      <c r="E1182" s="23" t="str">
        <f>IFERROR(__xludf.DUMMYFUNCTION("REGEXEXTRACT(TO_TEXT(A1182), ""(\d{2}/\d{2}/\d{4})"")"),"24/04/2025")</f>
        <v>24/04/2025</v>
      </c>
      <c r="F1182" s="26">
        <f t="shared" si="1"/>
        <v>45771</v>
      </c>
    </row>
    <row r="1183">
      <c r="A1183" s="11" t="s">
        <v>4940</v>
      </c>
      <c r="B1183" s="25" t="s">
        <v>4941</v>
      </c>
      <c r="C1183" s="11" t="s">
        <v>2357</v>
      </c>
      <c r="D1183" s="13" t="s">
        <v>2358</v>
      </c>
      <c r="E1183" s="23" t="str">
        <f>IFERROR(__xludf.DUMMYFUNCTION("REGEXEXTRACT(TO_TEXT(A1183), ""(\d{2}/\d{2}/\d{4})"")"),"26/04/2025")</f>
        <v>26/04/2025</v>
      </c>
      <c r="F1183" s="26">
        <f t="shared" si="1"/>
        <v>45773</v>
      </c>
    </row>
    <row r="1184">
      <c r="A1184" s="10" t="s">
        <v>4942</v>
      </c>
      <c r="B1184" s="25" t="s">
        <v>4943</v>
      </c>
      <c r="C1184" s="10" t="s">
        <v>2359</v>
      </c>
      <c r="D1184" s="10" t="s">
        <v>2360</v>
      </c>
      <c r="E1184" s="23" t="str">
        <f>IFERROR(__xludf.DUMMYFUNCTION("REGEXEXTRACT(TO_TEXT(A1184), ""(\d{2}/\d{2}/\d{4})"")"),"29/04/2025")</f>
        <v>29/04/2025</v>
      </c>
      <c r="F1184" s="26">
        <f t="shared" si="1"/>
        <v>45776</v>
      </c>
    </row>
    <row r="1185">
      <c r="A1185" s="11" t="s">
        <v>4944</v>
      </c>
      <c r="B1185" s="25" t="s">
        <v>4945</v>
      </c>
      <c r="C1185" s="11" t="s">
        <v>2361</v>
      </c>
      <c r="D1185" s="11" t="s">
        <v>2362</v>
      </c>
      <c r="E1185" s="23" t="str">
        <f>IFERROR(__xludf.DUMMYFUNCTION("REGEXEXTRACT(TO_TEXT(A1185), ""(\d{2}/\d{2}/\d{4})"")"),"01/05/2025")</f>
        <v>01/05/2025</v>
      </c>
      <c r="F1185" s="26">
        <f t="shared" si="1"/>
        <v>45778</v>
      </c>
    </row>
    <row r="1186">
      <c r="A1186" s="10" t="s">
        <v>4946</v>
      </c>
      <c r="B1186" s="25" t="s">
        <v>4947</v>
      </c>
      <c r="C1186" s="10" t="s">
        <v>2363</v>
      </c>
      <c r="D1186" s="10" t="s">
        <v>2364</v>
      </c>
      <c r="E1186" s="23" t="str">
        <f>IFERROR(__xludf.DUMMYFUNCTION("REGEXEXTRACT(TO_TEXT(A1186), ""(\d{2}/\d{2}/\d{4})"")"),"03/05/2025")</f>
        <v>03/05/2025</v>
      </c>
      <c r="F1186" s="26">
        <f t="shared" si="1"/>
        <v>45780</v>
      </c>
    </row>
    <row r="1187">
      <c r="A1187" s="11" t="s">
        <v>4948</v>
      </c>
      <c r="B1187" s="25" t="s">
        <v>4949</v>
      </c>
      <c r="C1187" s="11" t="s">
        <v>2365</v>
      </c>
      <c r="D1187" s="13" t="s">
        <v>2366</v>
      </c>
      <c r="E1187" s="23" t="str">
        <f>IFERROR(__xludf.DUMMYFUNCTION("REGEXEXTRACT(TO_TEXT(A1187), ""(\d{2}/\d{2}/\d{4})"")"),"06/05/2025")</f>
        <v>06/05/2025</v>
      </c>
      <c r="F1187" s="26">
        <f t="shared" si="1"/>
        <v>45783</v>
      </c>
    </row>
    <row r="1188">
      <c r="A1188" s="10" t="s">
        <v>4950</v>
      </c>
      <c r="B1188" s="25" t="s">
        <v>4951</v>
      </c>
      <c r="C1188" s="10" t="s">
        <v>2367</v>
      </c>
      <c r="D1188" s="10" t="s">
        <v>2368</v>
      </c>
      <c r="E1188" s="23" t="str">
        <f>IFERROR(__xludf.DUMMYFUNCTION("REGEXEXTRACT(TO_TEXT(A1188), ""(\d{2}/\d{2}/\d{4})"")"),"08/05/2025")</f>
        <v>08/05/2025</v>
      </c>
      <c r="F1188" s="26">
        <f t="shared" si="1"/>
        <v>45785</v>
      </c>
    </row>
    <row r="1189">
      <c r="A1189" s="11" t="s">
        <v>4952</v>
      </c>
      <c r="B1189" s="25" t="s">
        <v>4953</v>
      </c>
      <c r="C1189" s="11" t="s">
        <v>2369</v>
      </c>
      <c r="D1189" s="11" t="s">
        <v>2370</v>
      </c>
      <c r="E1189" s="23" t="str">
        <f>IFERROR(__xludf.DUMMYFUNCTION("REGEXEXTRACT(TO_TEXT(A1189), ""(\d{2}/\d{2}/\d{4})"")"),"10/05/2025")</f>
        <v>10/05/2025</v>
      </c>
      <c r="F1189" s="26">
        <f t="shared" si="1"/>
        <v>45787</v>
      </c>
    </row>
    <row r="1190">
      <c r="A1190" s="10" t="s">
        <v>4954</v>
      </c>
      <c r="B1190" s="25" t="s">
        <v>4955</v>
      </c>
      <c r="C1190" s="10" t="s">
        <v>2371</v>
      </c>
      <c r="D1190" s="10" t="s">
        <v>2372</v>
      </c>
      <c r="E1190" s="23" t="str">
        <f>IFERROR(__xludf.DUMMYFUNCTION("REGEXEXTRACT(TO_TEXT(A1190), ""(\d{2}/\d{2}/\d{4})"")"),"13/05/2025")</f>
        <v>13/05/2025</v>
      </c>
      <c r="F1190" s="26">
        <f t="shared" si="1"/>
        <v>45790</v>
      </c>
    </row>
    <row r="1191">
      <c r="A1191" s="11" t="s">
        <v>4956</v>
      </c>
      <c r="B1191" s="25" t="s">
        <v>4957</v>
      </c>
      <c r="C1191" s="11" t="s">
        <v>2373</v>
      </c>
      <c r="D1191" s="11" t="s">
        <v>2374</v>
      </c>
      <c r="E1191" s="23" t="str">
        <f>IFERROR(__xludf.DUMMYFUNCTION("REGEXEXTRACT(TO_TEXT(A1191), ""(\d{2}/\d{2}/\d{4})"")"),"15/05/2025")</f>
        <v>15/05/2025</v>
      </c>
      <c r="F1191" s="26">
        <f t="shared" si="1"/>
        <v>45792</v>
      </c>
    </row>
    <row r="1192">
      <c r="A1192" s="10" t="s">
        <v>4958</v>
      </c>
      <c r="B1192" s="25" t="s">
        <v>4959</v>
      </c>
      <c r="C1192" s="10" t="s">
        <v>2375</v>
      </c>
      <c r="D1192" s="10" t="s">
        <v>2376</v>
      </c>
      <c r="E1192" s="23" t="str">
        <f>IFERROR(__xludf.DUMMYFUNCTION("REGEXEXTRACT(TO_TEXT(A1192), ""(\d{2}/\d{2}/\d{4})"")"),"17/05/2025")</f>
        <v>17/05/2025</v>
      </c>
      <c r="F1192" s="26">
        <f t="shared" si="1"/>
        <v>45794</v>
      </c>
    </row>
    <row r="1193">
      <c r="A1193" s="11" t="s">
        <v>4960</v>
      </c>
      <c r="B1193" s="25" t="s">
        <v>4961</v>
      </c>
      <c r="C1193" s="11" t="s">
        <v>2377</v>
      </c>
      <c r="D1193" s="13" t="s">
        <v>2378</v>
      </c>
      <c r="E1193" s="23" t="str">
        <f>IFERROR(__xludf.DUMMYFUNCTION("REGEXEXTRACT(TO_TEXT(A1193), ""(\d{2}/\d{2}/\d{4})"")"),"20/05/2025")</f>
        <v>20/05/2025</v>
      </c>
      <c r="F1193" s="26">
        <f t="shared" si="1"/>
        <v>45797</v>
      </c>
    </row>
    <row r="1194">
      <c r="A1194" s="10" t="s">
        <v>4962</v>
      </c>
      <c r="B1194" s="25" t="s">
        <v>4963</v>
      </c>
      <c r="C1194" s="10" t="s">
        <v>2379</v>
      </c>
      <c r="D1194" s="12" t="s">
        <v>2380</v>
      </c>
      <c r="E1194" s="23" t="str">
        <f>IFERROR(__xludf.DUMMYFUNCTION("REGEXEXTRACT(TO_TEXT(A1194), ""(\d{2}/\d{2}/\d{4})"")"),"22/05/2025")</f>
        <v>22/05/2025</v>
      </c>
      <c r="F1194" s="26">
        <f t="shared" si="1"/>
        <v>45799</v>
      </c>
    </row>
    <row r="1195">
      <c r="A1195" s="11" t="s">
        <v>4964</v>
      </c>
      <c r="B1195" s="25" t="s">
        <v>4965</v>
      </c>
      <c r="C1195" s="11" t="s">
        <v>2381</v>
      </c>
      <c r="D1195" s="13" t="s">
        <v>2382</v>
      </c>
      <c r="E1195" s="23" t="str">
        <f>IFERROR(__xludf.DUMMYFUNCTION("REGEXEXTRACT(TO_TEXT(A1195), ""(\d{2}/\d{2}/\d{4})"")"),"24/05/2025")</f>
        <v>24/05/2025</v>
      </c>
      <c r="F1195" s="26">
        <f t="shared" si="1"/>
        <v>45801</v>
      </c>
    </row>
    <row r="1196">
      <c r="A1196" s="10" t="s">
        <v>4966</v>
      </c>
      <c r="B1196" s="25" t="s">
        <v>4967</v>
      </c>
      <c r="C1196" s="10" t="s">
        <v>2383</v>
      </c>
      <c r="D1196" s="12" t="s">
        <v>2384</v>
      </c>
      <c r="E1196" s="23" t="str">
        <f>IFERROR(__xludf.DUMMYFUNCTION("REGEXEXTRACT(TO_TEXT(A1196), ""(\d{2}/\d{2}/\d{4})"")"),"27/05/2025")</f>
        <v>27/05/2025</v>
      </c>
      <c r="F1196" s="26">
        <f t="shared" si="1"/>
        <v>45804</v>
      </c>
    </row>
    <row r="1197">
      <c r="A1197" s="11" t="s">
        <v>4968</v>
      </c>
      <c r="B1197" s="25" t="s">
        <v>4969</v>
      </c>
      <c r="C1197" s="11" t="s">
        <v>2385</v>
      </c>
      <c r="D1197" s="11" t="s">
        <v>2386</v>
      </c>
      <c r="E1197" s="23" t="str">
        <f>IFERROR(__xludf.DUMMYFUNCTION("REGEXEXTRACT(TO_TEXT(A1197), ""(\d{2}/\d{2}/\d{4})"")"),"29/05/2025")</f>
        <v>29/05/2025</v>
      </c>
      <c r="F1197" s="26">
        <f t="shared" si="1"/>
        <v>45806</v>
      </c>
    </row>
    <row r="1198">
      <c r="A1198" s="10" t="s">
        <v>4970</v>
      </c>
      <c r="B1198" s="25" t="s">
        <v>4971</v>
      </c>
      <c r="C1198" s="10" t="s">
        <v>2387</v>
      </c>
      <c r="D1198" s="10" t="s">
        <v>2388</v>
      </c>
      <c r="E1198" s="23" t="str">
        <f>IFERROR(__xludf.DUMMYFUNCTION("REGEXEXTRACT(TO_TEXT(A1198), ""(\d{2}/\d{2}/\d{4})"")"),"31/05/2025")</f>
        <v>31/05/2025</v>
      </c>
      <c r="F1198" s="26">
        <f t="shared" si="1"/>
        <v>45808</v>
      </c>
    </row>
    <row r="1199">
      <c r="A1199" s="11" t="s">
        <v>4972</v>
      </c>
      <c r="B1199" s="25" t="s">
        <v>4973</v>
      </c>
      <c r="C1199" s="11" t="s">
        <v>2389</v>
      </c>
      <c r="D1199" s="11" t="s">
        <v>2390</v>
      </c>
      <c r="E1199" s="23" t="str">
        <f>IFERROR(__xludf.DUMMYFUNCTION("REGEXEXTRACT(TO_TEXT(A1199), ""(\d{2}/\d{2}/\d{4})"")"),"03/06/2025")</f>
        <v>03/06/2025</v>
      </c>
      <c r="F1199" s="26">
        <f t="shared" si="1"/>
        <v>45811</v>
      </c>
    </row>
    <row r="1200">
      <c r="A1200" s="10" t="s">
        <v>4974</v>
      </c>
      <c r="B1200" s="25" t="s">
        <v>4975</v>
      </c>
      <c r="C1200" s="10" t="s">
        <v>2391</v>
      </c>
      <c r="D1200" s="10" t="s">
        <v>2392</v>
      </c>
      <c r="E1200" s="23" t="str">
        <f>IFERROR(__xludf.DUMMYFUNCTION("REGEXEXTRACT(TO_TEXT(A1200), ""(\d{2}/\d{2}/\d{4})"")"),"05/06/2025")</f>
        <v>05/06/2025</v>
      </c>
      <c r="F1200" s="26">
        <f t="shared" si="1"/>
        <v>45813</v>
      </c>
    </row>
    <row r="1201">
      <c r="A1201" s="11" t="s">
        <v>4976</v>
      </c>
      <c r="B1201" s="25" t="s">
        <v>4977</v>
      </c>
      <c r="C1201" s="11" t="s">
        <v>2393</v>
      </c>
      <c r="D1201" s="11" t="s">
        <v>2394</v>
      </c>
      <c r="E1201" s="23" t="str">
        <f>IFERROR(__xludf.DUMMYFUNCTION("REGEXEXTRACT(TO_TEXT(A1201), ""(\d{2}/\d{2}/\d{4})"")"),"07/06/2025")</f>
        <v>07/06/2025</v>
      </c>
      <c r="F1201" s="26">
        <f t="shared" si="1"/>
        <v>45815</v>
      </c>
    </row>
    <row r="1202">
      <c r="A1202" s="10" t="s">
        <v>4978</v>
      </c>
      <c r="B1202" s="25" t="s">
        <v>4979</v>
      </c>
      <c r="C1202" s="10" t="s">
        <v>2395</v>
      </c>
      <c r="D1202" s="12" t="s">
        <v>2396</v>
      </c>
      <c r="E1202" s="23" t="str">
        <f>IFERROR(__xludf.DUMMYFUNCTION("REGEXEXTRACT(TO_TEXT(A1202), ""(\d{2}/\d{2}/\d{4})"")"),"10/06/2025")</f>
        <v>10/06/2025</v>
      </c>
      <c r="F1202" s="26">
        <f t="shared" si="1"/>
        <v>45818</v>
      </c>
    </row>
    <row r="1203">
      <c r="A1203" s="11" t="s">
        <v>4980</v>
      </c>
      <c r="B1203" s="25" t="s">
        <v>4981</v>
      </c>
      <c r="C1203" s="11" t="s">
        <v>2397</v>
      </c>
      <c r="D1203" s="13" t="s">
        <v>2398</v>
      </c>
      <c r="E1203" s="23" t="str">
        <f>IFERROR(__xludf.DUMMYFUNCTION("REGEXEXTRACT(TO_TEXT(A1203), ""(\d{2}/\d{2}/\d{4})"")"),"12/06/2025")</f>
        <v>12/06/2025</v>
      </c>
      <c r="F1203" s="26">
        <f t="shared" si="1"/>
        <v>45820</v>
      </c>
    </row>
    <row r="1204">
      <c r="A1204" s="10" t="s">
        <v>4982</v>
      </c>
      <c r="B1204" s="25" t="s">
        <v>4983</v>
      </c>
      <c r="C1204" s="10" t="s">
        <v>2399</v>
      </c>
      <c r="D1204" s="12" t="s">
        <v>2400</v>
      </c>
      <c r="E1204" s="23" t="str">
        <f>IFERROR(__xludf.DUMMYFUNCTION("REGEXEXTRACT(TO_TEXT(A1204), ""(\d{2}/\d{2}/\d{4})"")"),"14/06/2025")</f>
        <v>14/06/2025</v>
      </c>
      <c r="F1204" s="26">
        <f t="shared" si="1"/>
        <v>45822</v>
      </c>
    </row>
    <row r="1205">
      <c r="A1205" s="11" t="s">
        <v>4984</v>
      </c>
      <c r="B1205" s="25" t="s">
        <v>4985</v>
      </c>
      <c r="C1205" s="11" t="s">
        <v>2401</v>
      </c>
      <c r="D1205" s="13" t="s">
        <v>2402</v>
      </c>
      <c r="E1205" s="23" t="str">
        <f>IFERROR(__xludf.DUMMYFUNCTION("REGEXEXTRACT(TO_TEXT(A1205), ""(\d{2}/\d{2}/\d{4})"")"),"17/06/2025")</f>
        <v>17/06/2025</v>
      </c>
      <c r="F1205" s="26">
        <f t="shared" si="1"/>
        <v>45825</v>
      </c>
    </row>
    <row r="1206">
      <c r="A1206" s="10" t="s">
        <v>4986</v>
      </c>
      <c r="B1206" s="25" t="s">
        <v>4987</v>
      </c>
      <c r="C1206" s="10" t="s">
        <v>2403</v>
      </c>
      <c r="D1206" s="12" t="s">
        <v>2404</v>
      </c>
      <c r="E1206" s="23" t="str">
        <f>IFERROR(__xludf.DUMMYFUNCTION("REGEXEXTRACT(TO_TEXT(A1206), ""(\d{2}/\d{2}/\d{4})"")"),"19/06/2025")</f>
        <v>19/06/2025</v>
      </c>
      <c r="F1206" s="26">
        <f t="shared" si="1"/>
        <v>45827</v>
      </c>
    </row>
    <row r="1207">
      <c r="A1207" s="11" t="s">
        <v>4988</v>
      </c>
      <c r="B1207" s="25" t="s">
        <v>4989</v>
      </c>
      <c r="C1207" s="11" t="s">
        <v>2405</v>
      </c>
      <c r="D1207" s="11" t="s">
        <v>2406</v>
      </c>
      <c r="E1207" s="23" t="str">
        <f>IFERROR(__xludf.DUMMYFUNCTION("REGEXEXTRACT(TO_TEXT(A1207), ""(\d{2}/\d{2}/\d{4})"")"),"21/06/2025")</f>
        <v>21/06/2025</v>
      </c>
      <c r="F1207" s="26">
        <f t="shared" si="1"/>
        <v>45829</v>
      </c>
    </row>
    <row r="1208">
      <c r="A1208" s="10" t="s">
        <v>4990</v>
      </c>
      <c r="B1208" s="25" t="s">
        <v>4991</v>
      </c>
      <c r="C1208" s="10" t="s">
        <v>2407</v>
      </c>
      <c r="D1208" s="10" t="s">
        <v>2408</v>
      </c>
      <c r="E1208" s="23" t="str">
        <f>IFERROR(__xludf.DUMMYFUNCTION("REGEXEXTRACT(TO_TEXT(A1208), ""(\d{2}/\d{2}/\d{4})"")"),"24/06/2025")</f>
        <v>24/06/2025</v>
      </c>
      <c r="F1208" s="26">
        <f t="shared" si="1"/>
        <v>45832</v>
      </c>
    </row>
    <row r="1209">
      <c r="A1209" s="11" t="s">
        <v>4992</v>
      </c>
      <c r="B1209" s="25" t="s">
        <v>4993</v>
      </c>
      <c r="C1209" s="11" t="s">
        <v>2409</v>
      </c>
      <c r="D1209" s="11" t="s">
        <v>2410</v>
      </c>
      <c r="E1209" s="23" t="str">
        <f>IFERROR(__xludf.DUMMYFUNCTION("REGEXEXTRACT(TO_TEXT(A1209), ""(\d{2}/\d{2}/\d{4})"")"),"26/06/2025")</f>
        <v>26/06/2025</v>
      </c>
      <c r="F1209" s="26">
        <f t="shared" si="1"/>
        <v>45834</v>
      </c>
    </row>
    <row r="1210">
      <c r="A1210" s="10" t="s">
        <v>4994</v>
      </c>
      <c r="B1210" s="25" t="s">
        <v>4995</v>
      </c>
      <c r="C1210" s="10" t="s">
        <v>167</v>
      </c>
      <c r="D1210" s="12" t="s">
        <v>2411</v>
      </c>
      <c r="E1210" s="23" t="str">
        <f>IFERROR(__xludf.DUMMYFUNCTION("REGEXEXTRACT(TO_TEXT(A1210), ""(\d{2}/\d{2}/\d{4})"")"),"28/06/2025")</f>
        <v>28/06/2025</v>
      </c>
      <c r="F1210" s="26">
        <f t="shared" si="1"/>
        <v>45836</v>
      </c>
    </row>
    <row r="1211">
      <c r="A1211" s="11" t="s">
        <v>4996</v>
      </c>
      <c r="B1211" s="25" t="s">
        <v>4997</v>
      </c>
      <c r="C1211" s="11" t="s">
        <v>167</v>
      </c>
      <c r="D1211" s="13" t="s">
        <v>2412</v>
      </c>
      <c r="E1211" s="23" t="str">
        <f>IFERROR(__xludf.DUMMYFUNCTION("REGEXEXTRACT(TO_TEXT(A1211), ""(\d{2}/\d{2}/\d{4})"")"),"01/07/2025")</f>
        <v>01/07/2025</v>
      </c>
      <c r="F1211" s="26">
        <f t="shared" si="1"/>
        <v>45839</v>
      </c>
    </row>
    <row r="1212">
      <c r="A1212" s="10" t="s">
        <v>4998</v>
      </c>
      <c r="B1212" s="25" t="s">
        <v>4999</v>
      </c>
      <c r="C1212" s="10" t="s">
        <v>2413</v>
      </c>
      <c r="D1212" s="10" t="s">
        <v>2414</v>
      </c>
      <c r="E1212" s="23" t="str">
        <f>IFERROR(__xludf.DUMMYFUNCTION("REGEXEXTRACT(TO_TEXT(A1212), ""(\d{2}/\d{2}/\d{4})"")"),"03/07/2025")</f>
        <v>03/07/2025</v>
      </c>
      <c r="F1212" s="26">
        <f t="shared" si="1"/>
        <v>45841</v>
      </c>
    </row>
    <row r="1213">
      <c r="A1213" s="11" t="s">
        <v>5000</v>
      </c>
      <c r="B1213" s="25" t="s">
        <v>5001</v>
      </c>
      <c r="C1213" s="11" t="s">
        <v>167</v>
      </c>
      <c r="D1213" s="13" t="s">
        <v>2415</v>
      </c>
      <c r="E1213" s="23" t="str">
        <f>IFERROR(__xludf.DUMMYFUNCTION("REGEXEXTRACT(TO_TEXT(A1213), ""(\d{2}/\d{2}/\d{4})"")"),"05/07/2025")</f>
        <v>05/07/2025</v>
      </c>
      <c r="F1213" s="26">
        <f t="shared" si="1"/>
        <v>45843</v>
      </c>
    </row>
    <row r="1214">
      <c r="A1214" s="10" t="s">
        <v>5002</v>
      </c>
      <c r="B1214" s="25" t="s">
        <v>5003</v>
      </c>
      <c r="C1214" s="10" t="s">
        <v>2416</v>
      </c>
      <c r="D1214" s="10" t="s">
        <v>2417</v>
      </c>
      <c r="E1214" s="23" t="str">
        <f>IFERROR(__xludf.DUMMYFUNCTION("REGEXEXTRACT(TO_TEXT(A1214), ""(\d{2}/\d{2}/\d{4})"")"),"08/07/2025")</f>
        <v>08/07/2025</v>
      </c>
      <c r="F1214" s="26">
        <f t="shared" si="1"/>
        <v>45846</v>
      </c>
    </row>
    <row r="1215">
      <c r="A1215" s="11" t="s">
        <v>5004</v>
      </c>
      <c r="B1215" s="25" t="s">
        <v>5005</v>
      </c>
      <c r="C1215" s="11" t="s">
        <v>2418</v>
      </c>
      <c r="D1215" s="11" t="s">
        <v>2419</v>
      </c>
      <c r="E1215" s="23" t="str">
        <f>IFERROR(__xludf.DUMMYFUNCTION("REGEXEXTRACT(TO_TEXT(A1215), ""(\d{2}/\d{2}/\d{4})"")"),"10/07/2025")</f>
        <v>10/07/2025</v>
      </c>
      <c r="F1215" s="26">
        <f t="shared" si="1"/>
        <v>45848</v>
      </c>
    </row>
    <row r="1216">
      <c r="A1216" s="10" t="s">
        <v>5006</v>
      </c>
      <c r="B1216" s="25" t="s">
        <v>5007</v>
      </c>
      <c r="C1216" s="12" t="s">
        <v>2420</v>
      </c>
      <c r="D1216" s="12" t="s">
        <v>2421</v>
      </c>
      <c r="E1216" s="23" t="str">
        <f>IFERROR(__xludf.DUMMYFUNCTION("REGEXEXTRACT(TO_TEXT(A1216), ""(\d{2}/\d{2}/\d{4})"")"),"12/07/2025")</f>
        <v>12/07/2025</v>
      </c>
      <c r="F1216" s="26">
        <f t="shared" si="1"/>
        <v>45850</v>
      </c>
    </row>
    <row r="1217">
      <c r="A1217" s="11" t="s">
        <v>5008</v>
      </c>
      <c r="B1217" s="25" t="s">
        <v>5009</v>
      </c>
      <c r="C1217" s="11" t="s">
        <v>2422</v>
      </c>
      <c r="D1217" s="11" t="s">
        <v>2423</v>
      </c>
      <c r="E1217" s="23" t="str">
        <f>IFERROR(__xludf.DUMMYFUNCTION("REGEXEXTRACT(TO_TEXT(A1217), ""(\d{2}/\d{2}/\d{4})"")"),"15/07/2025")</f>
        <v>15/07/2025</v>
      </c>
      <c r="F1217" s="26">
        <f t="shared" si="1"/>
        <v>45853</v>
      </c>
    </row>
    <row r="1218">
      <c r="A1218" s="10" t="s">
        <v>5010</v>
      </c>
      <c r="B1218" s="25" t="s">
        <v>5011</v>
      </c>
      <c r="C1218" s="10" t="s">
        <v>2424</v>
      </c>
      <c r="D1218" s="10" t="s">
        <v>2425</v>
      </c>
      <c r="E1218" s="23" t="str">
        <f>IFERROR(__xludf.DUMMYFUNCTION("REGEXEXTRACT(TO_TEXT(A1218), ""(\d{2}/\d{2}/\d{4})"")"),"17/07/2025")</f>
        <v>17/07/2025</v>
      </c>
      <c r="F1218" s="26">
        <f t="shared" si="1"/>
        <v>45855</v>
      </c>
    </row>
    <row r="1219">
      <c r="A1219" s="11" t="s">
        <v>5012</v>
      </c>
      <c r="B1219" s="25" t="s">
        <v>5013</v>
      </c>
      <c r="C1219" s="11" t="s">
        <v>2426</v>
      </c>
      <c r="D1219" s="11" t="s">
        <v>2427</v>
      </c>
      <c r="E1219" s="23" t="str">
        <f>IFERROR(__xludf.DUMMYFUNCTION("REGEXEXTRACT(TO_TEXT(A1219), ""(\d{2}/\d{2}/\d{4})"")"),"19/07/2025")</f>
        <v>19/07/2025</v>
      </c>
      <c r="F1219" s="26">
        <f t="shared" si="1"/>
        <v>45857</v>
      </c>
    </row>
    <row r="1220">
      <c r="A1220" s="10" t="s">
        <v>5014</v>
      </c>
      <c r="B1220" s="25" t="s">
        <v>5015</v>
      </c>
      <c r="C1220" s="10" t="s">
        <v>2428</v>
      </c>
      <c r="D1220" s="10" t="s">
        <v>2429</v>
      </c>
      <c r="E1220" s="23" t="str">
        <f>IFERROR(__xludf.DUMMYFUNCTION("REGEXEXTRACT(TO_TEXT(A1220), ""(\d{2}/\d{2}/\d{4})"")"),"22/07/2025")</f>
        <v>22/07/2025</v>
      </c>
      <c r="F1220" s="26">
        <f t="shared" si="1"/>
        <v>45860</v>
      </c>
    </row>
    <row r="1221">
      <c r="A1221" s="11" t="s">
        <v>5016</v>
      </c>
      <c r="B1221" s="25" t="s">
        <v>5017</v>
      </c>
      <c r="C1221" s="11" t="s">
        <v>2430</v>
      </c>
      <c r="D1221" s="13" t="s">
        <v>2431</v>
      </c>
      <c r="E1221" s="23" t="str">
        <f>IFERROR(__xludf.DUMMYFUNCTION("REGEXEXTRACT(TO_TEXT(A1221), ""(\d{2}/\d{2}/\d{4})"")"),"24/07/2025")</f>
        <v>24/07/2025</v>
      </c>
      <c r="F1221" s="26">
        <f t="shared" si="1"/>
        <v>45862</v>
      </c>
    </row>
    <row r="1222">
      <c r="A1222" s="10" t="s">
        <v>5018</v>
      </c>
      <c r="B1222" s="25" t="s">
        <v>5019</v>
      </c>
      <c r="C1222" s="10" t="s">
        <v>2432</v>
      </c>
      <c r="D1222" s="10" t="s">
        <v>2433</v>
      </c>
      <c r="E1222" s="23" t="str">
        <f>IFERROR(__xludf.DUMMYFUNCTION("REGEXEXTRACT(TO_TEXT(A1222), ""(\d{2}/\d{2}/\d{4})"")"),"26/07/2025")</f>
        <v>26/07/2025</v>
      </c>
      <c r="F1222" s="26">
        <f t="shared" si="1"/>
        <v>45864</v>
      </c>
    </row>
    <row r="1223">
      <c r="A1223" s="11" t="s">
        <v>5020</v>
      </c>
      <c r="B1223" s="25" t="s">
        <v>5021</v>
      </c>
      <c r="C1223" s="11" t="s">
        <v>2434</v>
      </c>
      <c r="D1223" s="11" t="s">
        <v>2435</v>
      </c>
      <c r="E1223" s="23" t="str">
        <f>IFERROR(__xludf.DUMMYFUNCTION("REGEXEXTRACT(TO_TEXT(A1223), ""(\d{2}/\d{2}/\d{4})"")"),"29/07/2025")</f>
        <v>29/07/2025</v>
      </c>
      <c r="F1223" s="26">
        <f t="shared" si="1"/>
        <v>45867</v>
      </c>
    </row>
    <row r="1224">
      <c r="A1224" s="10" t="s">
        <v>5022</v>
      </c>
      <c r="B1224" s="25" t="s">
        <v>5023</v>
      </c>
      <c r="C1224" s="10" t="s">
        <v>2436</v>
      </c>
      <c r="D1224" s="10" t="s">
        <v>2437</v>
      </c>
      <c r="E1224" s="23" t="str">
        <f>IFERROR(__xludf.DUMMYFUNCTION("REGEXEXTRACT(TO_TEXT(A1224), ""(\d{2}/\d{2}/\d{4})"")"),"31/07/2025")</f>
        <v>31/07/2025</v>
      </c>
      <c r="F1224" s="26">
        <f t="shared" si="1"/>
        <v>45869</v>
      </c>
    </row>
    <row r="1225">
      <c r="A1225" s="11" t="s">
        <v>5024</v>
      </c>
      <c r="B1225" s="25" t="s">
        <v>5025</v>
      </c>
      <c r="C1225" s="11" t="s">
        <v>2438</v>
      </c>
      <c r="D1225" s="13" t="s">
        <v>2439</v>
      </c>
      <c r="E1225" s="23" t="str">
        <f>IFERROR(__xludf.DUMMYFUNCTION("REGEXEXTRACT(TO_TEXT(A1225), ""(\d{2}/\d{2}/\d{4})"")"),"02/08/2025")</f>
        <v>02/08/2025</v>
      </c>
      <c r="F1225" s="26">
        <f t="shared" si="1"/>
        <v>45871</v>
      </c>
    </row>
    <row r="1226">
      <c r="A1226" s="10" t="s">
        <v>5026</v>
      </c>
      <c r="B1226" s="25" t="s">
        <v>5027</v>
      </c>
      <c r="C1226" s="10" t="s">
        <v>2440</v>
      </c>
      <c r="D1226" s="12" t="s">
        <v>2441</v>
      </c>
      <c r="E1226" s="23" t="str">
        <f>IFERROR(__xludf.DUMMYFUNCTION("REGEXEXTRACT(TO_TEXT(A1226), ""(\d{2}/\d{2}/\d{4})"")"),"05/08/2025")</f>
        <v>05/08/2025</v>
      </c>
      <c r="F1226" s="26">
        <f t="shared" si="1"/>
        <v>45874</v>
      </c>
    </row>
    <row r="1227">
      <c r="A1227" s="11" t="s">
        <v>5028</v>
      </c>
      <c r="B1227" s="25" t="s">
        <v>5029</v>
      </c>
      <c r="C1227" s="11" t="s">
        <v>2442</v>
      </c>
      <c r="D1227" s="11" t="s">
        <v>2443</v>
      </c>
      <c r="E1227" s="23" t="str">
        <f>IFERROR(__xludf.DUMMYFUNCTION("REGEXEXTRACT(TO_TEXT(A1227), ""(\d{2}/\d{2}/\d{4})"")"),"07/08/2025")</f>
        <v>07/08/2025</v>
      </c>
      <c r="F1227" s="26">
        <f t="shared" si="1"/>
        <v>45876</v>
      </c>
    </row>
    <row r="1228">
      <c r="A1228" s="10" t="s">
        <v>5030</v>
      </c>
      <c r="B1228" s="25" t="s">
        <v>5031</v>
      </c>
      <c r="C1228" s="10" t="s">
        <v>2444</v>
      </c>
      <c r="D1228" s="10" t="s">
        <v>2445</v>
      </c>
      <c r="E1228" s="23" t="str">
        <f>IFERROR(__xludf.DUMMYFUNCTION("REGEXEXTRACT(TO_TEXT(A1228), ""(\d{2}/\d{2}/\d{4})"")"),"09/08/2025")</f>
        <v>09/08/2025</v>
      </c>
      <c r="F1228" s="26">
        <f t="shared" si="1"/>
        <v>45878</v>
      </c>
    </row>
    <row r="1229">
      <c r="A1229" s="11" t="s">
        <v>5032</v>
      </c>
      <c r="B1229" s="25" t="s">
        <v>5033</v>
      </c>
      <c r="C1229" s="11" t="s">
        <v>2446</v>
      </c>
      <c r="D1229" s="13" t="s">
        <v>2447</v>
      </c>
      <c r="E1229" s="23" t="str">
        <f>IFERROR(__xludf.DUMMYFUNCTION("REGEXEXTRACT(TO_TEXT(A1229), ""(\d{2}/\d{2}/\d{4})"")"),"12/08/2025")</f>
        <v>12/08/2025</v>
      </c>
      <c r="F1229" s="26">
        <f t="shared" si="1"/>
        <v>45881</v>
      </c>
    </row>
    <row r="1230">
      <c r="A1230" s="10" t="s">
        <v>5034</v>
      </c>
      <c r="B1230" s="25" t="s">
        <v>5035</v>
      </c>
      <c r="C1230" s="10" t="s">
        <v>2448</v>
      </c>
      <c r="D1230" s="10" t="s">
        <v>2449</v>
      </c>
      <c r="E1230" s="23" t="str">
        <f>IFERROR(__xludf.DUMMYFUNCTION("REGEXEXTRACT(TO_TEXT(A1230), ""(\d{2}/\d{2}/\d{4})"")"),"14/08/2025")</f>
        <v>14/08/2025</v>
      </c>
      <c r="F1230" s="26">
        <f t="shared" si="1"/>
        <v>45883</v>
      </c>
    </row>
    <row r="1231">
      <c r="A1231" s="11" t="s">
        <v>5036</v>
      </c>
      <c r="B1231" s="25" t="s">
        <v>5037</v>
      </c>
      <c r="C1231" s="11" t="s">
        <v>2450</v>
      </c>
      <c r="D1231" s="13" t="s">
        <v>2451</v>
      </c>
      <c r="E1231" s="23" t="str">
        <f>IFERROR(__xludf.DUMMYFUNCTION("REGEXEXTRACT(TO_TEXT(A1231), ""(\d{2}/\d{2}/\d{4})"")"),"16/08/2025")</f>
        <v>16/08/2025</v>
      </c>
      <c r="F1231" s="26">
        <f t="shared" si="1"/>
        <v>45885</v>
      </c>
    </row>
    <row r="1232">
      <c r="A1232" s="10" t="s">
        <v>5038</v>
      </c>
      <c r="B1232" s="25" t="s">
        <v>5039</v>
      </c>
      <c r="C1232" s="10" t="s">
        <v>2452</v>
      </c>
      <c r="D1232" s="12" t="s">
        <v>2453</v>
      </c>
      <c r="E1232" s="23" t="str">
        <f>IFERROR(__xludf.DUMMYFUNCTION("REGEXEXTRACT(TO_TEXT(A1232), ""(\d{2}/\d{2}/\d{4})"")"),"19/08/2025")</f>
        <v>19/08/2025</v>
      </c>
      <c r="F1232" s="26">
        <f t="shared" si="1"/>
        <v>45888</v>
      </c>
    </row>
    <row r="1233">
      <c r="A1233" s="11" t="s">
        <v>5040</v>
      </c>
      <c r="B1233" s="25" t="s">
        <v>5041</v>
      </c>
      <c r="C1233" s="11" t="s">
        <v>2454</v>
      </c>
      <c r="D1233" s="13" t="s">
        <v>2455</v>
      </c>
      <c r="E1233" s="23" t="str">
        <f>IFERROR(__xludf.DUMMYFUNCTION("REGEXEXTRACT(TO_TEXT(A1233), ""(\d{2}/\d{2}/\d{4})"")"),"21/08/2025")</f>
        <v>21/08/2025</v>
      </c>
      <c r="F1233" s="26">
        <f t="shared" si="1"/>
        <v>45890</v>
      </c>
    </row>
    <row r="1234">
      <c r="A1234" s="10" t="s">
        <v>5042</v>
      </c>
      <c r="B1234" s="25" t="s">
        <v>5043</v>
      </c>
      <c r="C1234" s="10" t="s">
        <v>2456</v>
      </c>
      <c r="D1234" s="10" t="s">
        <v>2457</v>
      </c>
      <c r="E1234" s="23" t="str">
        <f>IFERROR(__xludf.DUMMYFUNCTION("REGEXEXTRACT(TO_TEXT(A1234), ""(\d{2}/\d{2}/\d{4})"")"),"23/08/2025")</f>
        <v>23/08/2025</v>
      </c>
      <c r="F1234" s="26">
        <f t="shared" si="1"/>
        <v>45892</v>
      </c>
    </row>
    <row r="1235">
      <c r="A1235" s="11" t="s">
        <v>5044</v>
      </c>
      <c r="B1235" s="25" t="s">
        <v>5045</v>
      </c>
      <c r="C1235" s="11" t="s">
        <v>2458</v>
      </c>
      <c r="D1235" s="11" t="s">
        <v>2459</v>
      </c>
      <c r="E1235" s="23" t="str">
        <f>IFERROR(__xludf.DUMMYFUNCTION("REGEXEXTRACT(TO_TEXT(A1235), ""(\d{2}/\d{2}/\d{4})"")"),"26/08/2025")</f>
        <v>26/08/2025</v>
      </c>
      <c r="F1235" s="26">
        <f t="shared" si="1"/>
        <v>45895</v>
      </c>
    </row>
    <row r="1236">
      <c r="A1236" s="10" t="s">
        <v>5046</v>
      </c>
      <c r="B1236" s="25" t="s">
        <v>5047</v>
      </c>
      <c r="C1236" s="10" t="s">
        <v>2460</v>
      </c>
      <c r="D1236" s="10" t="s">
        <v>2461</v>
      </c>
      <c r="E1236" s="23" t="str">
        <f>IFERROR(__xludf.DUMMYFUNCTION("REGEXEXTRACT(TO_TEXT(A1236), ""(\d{2}/\d{2}/\d{4})"")"),"28/08/2025")</f>
        <v>28/08/2025</v>
      </c>
      <c r="F1236" s="26">
        <f t="shared" si="1"/>
        <v>45897</v>
      </c>
    </row>
    <row r="1237">
      <c r="A1237" s="11" t="s">
        <v>5048</v>
      </c>
      <c r="B1237" s="25" t="s">
        <v>5049</v>
      </c>
      <c r="C1237" s="11" t="s">
        <v>2462</v>
      </c>
      <c r="D1237" s="13" t="s">
        <v>2463</v>
      </c>
      <c r="E1237" s="23" t="str">
        <f>IFERROR(__xludf.DUMMYFUNCTION("REGEXEXTRACT(TO_TEXT(A1237), ""(\d{2}/\d{2}/\d{4})"")"),"30/08/2025")</f>
        <v>30/08/2025</v>
      </c>
      <c r="F1237" s="26">
        <f t="shared" si="1"/>
        <v>45899</v>
      </c>
    </row>
    <row r="1238">
      <c r="A1238" s="10" t="s">
        <v>5050</v>
      </c>
      <c r="B1238" s="25" t="s">
        <v>5051</v>
      </c>
      <c r="C1238" s="10" t="s">
        <v>2464</v>
      </c>
      <c r="D1238" s="10" t="s">
        <v>2465</v>
      </c>
      <c r="E1238" s="23" t="str">
        <f>IFERROR(__xludf.DUMMYFUNCTION("REGEXEXTRACT(TO_TEXT(A1238), ""(\d{2}/\d{2}/\d{4})"")"),"02/09/2025")</f>
        <v>02/09/2025</v>
      </c>
      <c r="F1238" s="26">
        <f t="shared" si="1"/>
        <v>45902</v>
      </c>
    </row>
    <row r="1239">
      <c r="A1239" s="11" t="s">
        <v>5052</v>
      </c>
      <c r="B1239" s="25" t="s">
        <v>5053</v>
      </c>
      <c r="C1239" s="11" t="s">
        <v>2466</v>
      </c>
      <c r="D1239" s="11" t="s">
        <v>2467</v>
      </c>
      <c r="E1239" s="23" t="str">
        <f>IFERROR(__xludf.DUMMYFUNCTION("REGEXEXTRACT(TO_TEXT(A1239), ""(\d{2}/\d{2}/\d{4})"")"),"04/09/2025")</f>
        <v>04/09/2025</v>
      </c>
      <c r="F1239" s="26">
        <f t="shared" si="1"/>
        <v>45904</v>
      </c>
    </row>
    <row r="1240">
      <c r="A1240" s="10" t="s">
        <v>5054</v>
      </c>
      <c r="B1240" s="25" t="s">
        <v>5055</v>
      </c>
      <c r="C1240" s="10" t="s">
        <v>2468</v>
      </c>
      <c r="D1240" s="12" t="s">
        <v>2469</v>
      </c>
      <c r="E1240" s="23" t="str">
        <f>IFERROR(__xludf.DUMMYFUNCTION("REGEXEXTRACT(TO_TEXT(A1240), ""(\d{2}/\d{2}/\d{4})"")"),"06/09/2025")</f>
        <v>06/09/2025</v>
      </c>
      <c r="F1240" s="26">
        <f t="shared" si="1"/>
        <v>45906</v>
      </c>
    </row>
    <row r="1241">
      <c r="A1241" s="11" t="s">
        <v>5056</v>
      </c>
      <c r="B1241" s="25" t="s">
        <v>5057</v>
      </c>
      <c r="C1241" s="11" t="s">
        <v>2470</v>
      </c>
      <c r="D1241" s="11" t="s">
        <v>2471</v>
      </c>
      <c r="E1241" s="23" t="str">
        <f>IFERROR(__xludf.DUMMYFUNCTION("REGEXEXTRACT(TO_TEXT(A1241), ""(\d{2}/\d{2}/\d{4})"")"),"09/09/2025")</f>
        <v>09/09/2025</v>
      </c>
      <c r="F1241" s="26">
        <f t="shared" si="1"/>
        <v>45909</v>
      </c>
    </row>
    <row r="1242">
      <c r="A1242" s="10" t="s">
        <v>5058</v>
      </c>
      <c r="B1242" s="25" t="s">
        <v>5059</v>
      </c>
      <c r="C1242" s="10" t="s">
        <v>2472</v>
      </c>
      <c r="D1242" s="10" t="s">
        <v>2473</v>
      </c>
      <c r="E1242" s="23" t="str">
        <f>IFERROR(__xludf.DUMMYFUNCTION("REGEXEXTRACT(TO_TEXT(A1242), ""(\d{2}/\d{2}/\d{4})"")"),"11/09/2025")</f>
        <v>11/09/2025</v>
      </c>
      <c r="F1242" s="26">
        <f t="shared" si="1"/>
        <v>45911</v>
      </c>
    </row>
    <row r="1243">
      <c r="A1243" s="11" t="s">
        <v>5060</v>
      </c>
      <c r="B1243" s="25" t="s">
        <v>5061</v>
      </c>
      <c r="C1243" s="11" t="s">
        <v>2474</v>
      </c>
      <c r="D1243" s="11" t="s">
        <v>2475</v>
      </c>
      <c r="E1243" s="23" t="str">
        <f>IFERROR(__xludf.DUMMYFUNCTION("REGEXEXTRACT(TO_TEXT(A1243), ""(\d{2}/\d{2}/\d{4})"")"),"13/09/2025")</f>
        <v>13/09/2025</v>
      </c>
      <c r="F1243" s="26">
        <f t="shared" si="1"/>
        <v>45913</v>
      </c>
    </row>
    <row r="1244">
      <c r="A1244" s="10" t="s">
        <v>5062</v>
      </c>
      <c r="B1244" s="25" t="s">
        <v>5063</v>
      </c>
      <c r="C1244" s="10" t="s">
        <v>2476</v>
      </c>
      <c r="D1244" s="12" t="s">
        <v>2477</v>
      </c>
      <c r="E1244" s="23" t="str">
        <f>IFERROR(__xludf.DUMMYFUNCTION("REGEXEXTRACT(TO_TEXT(A1244), ""(\d{2}/\d{2}/\d{4})"")"),"16/09/2025")</f>
        <v>16/09/2025</v>
      </c>
      <c r="F1244" s="26">
        <f t="shared" si="1"/>
        <v>45916</v>
      </c>
    </row>
    <row r="1245">
      <c r="A1245" s="11" t="s">
        <v>5064</v>
      </c>
      <c r="B1245" s="25" t="s">
        <v>5065</v>
      </c>
      <c r="C1245" s="11" t="s">
        <v>2478</v>
      </c>
      <c r="D1245" s="13" t="s">
        <v>2479</v>
      </c>
      <c r="E1245" s="23" t="str">
        <f>IFERROR(__xludf.DUMMYFUNCTION("REGEXEXTRACT(TO_TEXT(A1245), ""(\d{2}/\d{2}/\d{4})"")"),"18/09/2025")</f>
        <v>18/09/2025</v>
      </c>
      <c r="F1245" s="26">
        <f t="shared" si="1"/>
        <v>45918</v>
      </c>
    </row>
    <row r="1246">
      <c r="A1246" s="10" t="s">
        <v>5066</v>
      </c>
      <c r="B1246" s="25" t="s">
        <v>5067</v>
      </c>
      <c r="C1246" s="10" t="s">
        <v>2480</v>
      </c>
      <c r="D1246" s="10" t="s">
        <v>2481</v>
      </c>
      <c r="E1246" s="23" t="str">
        <f>IFERROR(__xludf.DUMMYFUNCTION("REGEXEXTRACT(TO_TEXT(A1246), ""(\d{2}/\d{2}/\d{4})"")"),"20/09/2025")</f>
        <v>20/09/2025</v>
      </c>
      <c r="F1246" s="26">
        <f t="shared" si="1"/>
        <v>45920</v>
      </c>
    </row>
    <row r="1247">
      <c r="A1247" s="11" t="s">
        <v>5068</v>
      </c>
      <c r="B1247" s="25" t="s">
        <v>5069</v>
      </c>
      <c r="C1247" s="11" t="s">
        <v>2482</v>
      </c>
      <c r="D1247" s="11" t="s">
        <v>2483</v>
      </c>
      <c r="E1247" s="23" t="str">
        <f>IFERROR(__xludf.DUMMYFUNCTION("REGEXEXTRACT(TO_TEXT(A1247), ""(\d{2}/\d{2}/\d{4})"")"),"23/09/2025")</f>
        <v>23/09/2025</v>
      </c>
      <c r="F1247" s="26">
        <f t="shared" si="1"/>
        <v>45923</v>
      </c>
    </row>
    <row r="1248">
      <c r="A1248" s="10" t="s">
        <v>5070</v>
      </c>
      <c r="B1248" s="25" t="s">
        <v>5071</v>
      </c>
      <c r="C1248" s="10" t="s">
        <v>2484</v>
      </c>
      <c r="D1248" s="10" t="s">
        <v>2485</v>
      </c>
      <c r="E1248" s="23" t="str">
        <f>IFERROR(__xludf.DUMMYFUNCTION("REGEXEXTRACT(TO_TEXT(A1248), ""(\d{2}/\d{2}/\d{4})"")"),"25/09/2025")</f>
        <v>25/09/2025</v>
      </c>
      <c r="F1248" s="26">
        <f t="shared" si="1"/>
        <v>45925</v>
      </c>
    </row>
    <row r="1249">
      <c r="A1249" s="11" t="s">
        <v>5072</v>
      </c>
      <c r="B1249" s="25" t="s">
        <v>5073</v>
      </c>
      <c r="C1249" s="11" t="s">
        <v>2486</v>
      </c>
      <c r="D1249" s="11" t="s">
        <v>2487</v>
      </c>
      <c r="E1249" s="23" t="str">
        <f>IFERROR(__xludf.DUMMYFUNCTION("REGEXEXTRACT(TO_TEXT(A1249), ""(\d{2}/\d{2}/\d{4})"")"),"27/09/2025")</f>
        <v>27/09/2025</v>
      </c>
      <c r="F1249" s="26">
        <f t="shared" si="1"/>
        <v>45927</v>
      </c>
    </row>
    <row r="1250">
      <c r="A1250" s="10" t="s">
        <v>5074</v>
      </c>
      <c r="B1250" s="25" t="s">
        <v>5075</v>
      </c>
      <c r="C1250" s="12" t="s">
        <v>2488</v>
      </c>
      <c r="D1250" s="12" t="s">
        <v>2489</v>
      </c>
      <c r="E1250" s="23" t="str">
        <f>IFERROR(__xludf.DUMMYFUNCTION("REGEXEXTRACT(TO_TEXT(A1250), ""(\d{2}/\d{2}/\d{4})"")"),"30/09/2025")</f>
        <v>30/09/2025</v>
      </c>
      <c r="F1250" s="26">
        <f t="shared" si="1"/>
        <v>45930</v>
      </c>
    </row>
    <row r="1251">
      <c r="A1251" s="11" t="s">
        <v>5076</v>
      </c>
      <c r="B1251" s="25" t="s">
        <v>5077</v>
      </c>
      <c r="C1251" s="11" t="s">
        <v>2490</v>
      </c>
      <c r="D1251" s="13" t="s">
        <v>2491</v>
      </c>
      <c r="E1251" s="23" t="str">
        <f>IFERROR(__xludf.DUMMYFUNCTION("REGEXEXTRACT(TO_TEXT(A1251), ""(\d{2}/\d{2}/\d{4})"")"),"02/10/2025")</f>
        <v>02/10/2025</v>
      </c>
      <c r="F1251" s="26">
        <f t="shared" si="1"/>
        <v>45932</v>
      </c>
    </row>
    <row r="1252">
      <c r="A1252" s="10" t="s">
        <v>5078</v>
      </c>
      <c r="B1252" s="25" t="s">
        <v>5079</v>
      </c>
      <c r="C1252" s="10" t="s">
        <v>2492</v>
      </c>
      <c r="D1252" s="12" t="s">
        <v>2493</v>
      </c>
      <c r="E1252" s="23" t="str">
        <f>IFERROR(__xludf.DUMMYFUNCTION("REGEXEXTRACT(TO_TEXT(A1252), ""(\d{2}/\d{2}/\d{4})"")"),"04/10/2025")</f>
        <v>04/10/2025</v>
      </c>
      <c r="F1252" s="26">
        <f t="shared" si="1"/>
        <v>45934</v>
      </c>
    </row>
    <row r="1253">
      <c r="A1253" s="11" t="s">
        <v>5080</v>
      </c>
      <c r="B1253" s="25" t="s">
        <v>5081</v>
      </c>
      <c r="C1253" s="11" t="s">
        <v>2494</v>
      </c>
      <c r="D1253" s="11" t="s">
        <v>2495</v>
      </c>
      <c r="E1253" s="23" t="str">
        <f>IFERROR(__xludf.DUMMYFUNCTION("REGEXEXTRACT(TO_TEXT(A1253), ""(\d{2}/\d{2}/\d{4})"")"),"07/10/2025")</f>
        <v>07/10/2025</v>
      </c>
      <c r="F1253" s="26">
        <f t="shared" si="1"/>
        <v>45937</v>
      </c>
    </row>
    <row r="1254">
      <c r="A1254" s="10" t="s">
        <v>5082</v>
      </c>
      <c r="B1254" s="25" t="s">
        <v>5083</v>
      </c>
      <c r="C1254" s="12" t="s">
        <v>2496</v>
      </c>
      <c r="D1254" s="10" t="s">
        <v>2497</v>
      </c>
      <c r="E1254" s="23" t="str">
        <f>IFERROR(__xludf.DUMMYFUNCTION("REGEXEXTRACT(TO_TEXT(A1254), ""(\d{2}/\d{2}/\d{4})"")"),"09/10/2025")</f>
        <v>09/10/2025</v>
      </c>
      <c r="F1254" s="26">
        <f t="shared" si="1"/>
        <v>45939</v>
      </c>
    </row>
    <row r="1255">
      <c r="A1255" s="11" t="s">
        <v>5084</v>
      </c>
      <c r="B1255" s="25" t="s">
        <v>5085</v>
      </c>
      <c r="C1255" s="11" t="s">
        <v>2498</v>
      </c>
      <c r="D1255" s="13" t="s">
        <v>2499</v>
      </c>
      <c r="E1255" s="23" t="str">
        <f>IFERROR(__xludf.DUMMYFUNCTION("REGEXEXTRACT(TO_TEXT(A1255), ""(\d{2}/\d{2}/\d{4})"")"),"11/10/2025")</f>
        <v>11/10/2025</v>
      </c>
      <c r="F1255" s="26">
        <f t="shared" si="1"/>
        <v>45941</v>
      </c>
    </row>
    <row r="1256">
      <c r="A1256" s="10" t="s">
        <v>5086</v>
      </c>
      <c r="B1256" s="25" t="s">
        <v>5087</v>
      </c>
      <c r="C1256" s="10" t="s">
        <v>2500</v>
      </c>
      <c r="D1256" s="10" t="s">
        <v>2501</v>
      </c>
      <c r="E1256" s="23" t="str">
        <f>IFERROR(__xludf.DUMMYFUNCTION("REGEXEXTRACT(TO_TEXT(A1256), ""(\d{2}/\d{2}/\d{4})"")"),"14/10/2025")</f>
        <v>14/10/2025</v>
      </c>
      <c r="F1256" s="26">
        <f t="shared" si="1"/>
        <v>45944</v>
      </c>
    </row>
    <row r="1257">
      <c r="A1257" s="11" t="s">
        <v>5088</v>
      </c>
      <c r="B1257" s="25" t="s">
        <v>5089</v>
      </c>
      <c r="C1257" s="11" t="s">
        <v>2502</v>
      </c>
      <c r="D1257" s="11" t="s">
        <v>2503</v>
      </c>
      <c r="E1257" s="23" t="str">
        <f>IFERROR(__xludf.DUMMYFUNCTION("REGEXEXTRACT(TO_TEXT(A1257), ""(\d{2}/\d{2}/\d{4})"")"),"16/10/2025")</f>
        <v>16/10/2025</v>
      </c>
      <c r="F1257" s="26">
        <f t="shared" si="1"/>
        <v>45946</v>
      </c>
    </row>
    <row r="1258">
      <c r="A1258" s="10" t="s">
        <v>5090</v>
      </c>
      <c r="B1258" s="25" t="s">
        <v>5091</v>
      </c>
      <c r="C1258" s="10" t="s">
        <v>2504</v>
      </c>
      <c r="D1258" s="10" t="s">
        <v>2505</v>
      </c>
      <c r="E1258" s="23" t="str">
        <f>IFERROR(__xludf.DUMMYFUNCTION("REGEXEXTRACT(TO_TEXT(A1258), ""(\d{2}/\d{2}/\d{4})"")"),"18/10/2025")</f>
        <v>18/10/2025</v>
      </c>
      <c r="F1258" s="26">
        <f t="shared" si="1"/>
        <v>45948</v>
      </c>
    </row>
    <row r="1259">
      <c r="A1259" s="11" t="s">
        <v>5092</v>
      </c>
      <c r="B1259" s="25" t="s">
        <v>5093</v>
      </c>
      <c r="C1259" s="11" t="s">
        <v>2506</v>
      </c>
      <c r="D1259" s="11" t="s">
        <v>2507</v>
      </c>
      <c r="E1259" s="23" t="str">
        <f>IFERROR(__xludf.DUMMYFUNCTION("REGEXEXTRACT(TO_TEXT(A1259), ""(\d{2}/\d{2}/\d{4})"")"),"21/10/2025")</f>
        <v>21/10/2025</v>
      </c>
      <c r="F1259" s="26">
        <f t="shared" si="1"/>
        <v>45951</v>
      </c>
    </row>
    <row r="1260">
      <c r="A1260" s="10" t="s">
        <v>5094</v>
      </c>
      <c r="B1260" s="25" t="s">
        <v>5095</v>
      </c>
      <c r="C1260" s="10" t="s">
        <v>2508</v>
      </c>
      <c r="D1260" s="10" t="s">
        <v>2509</v>
      </c>
      <c r="E1260" s="23" t="str">
        <f>IFERROR(__xludf.DUMMYFUNCTION("REGEXEXTRACT(TO_TEXT(A1260), ""(\d{2}/\d{2}/\d{4})"")"),"23/10/2025")</f>
        <v>23/10/2025</v>
      </c>
      <c r="F1260" s="26">
        <f t="shared" si="1"/>
        <v>45953</v>
      </c>
    </row>
    <row r="1261">
      <c r="A1261" s="11" t="s">
        <v>5096</v>
      </c>
      <c r="B1261" s="25" t="s">
        <v>5097</v>
      </c>
      <c r="C1261" s="11" t="s">
        <v>2510</v>
      </c>
      <c r="D1261" s="13" t="s">
        <v>2511</v>
      </c>
      <c r="E1261" s="23" t="str">
        <f>IFERROR(__xludf.DUMMYFUNCTION("REGEXEXTRACT(TO_TEXT(A1261), ""(\d{2}/\d{2}/\d{4})"")"),"25/10/2025")</f>
        <v>25/10/2025</v>
      </c>
      <c r="F1261" s="26">
        <f t="shared" si="1"/>
        <v>45955</v>
      </c>
    </row>
    <row r="1262">
      <c r="A1262" s="10" t="s">
        <v>5098</v>
      </c>
      <c r="B1262" s="25" t="s">
        <v>5099</v>
      </c>
      <c r="C1262" s="10" t="s">
        <v>2512</v>
      </c>
      <c r="D1262" s="12" t="s">
        <v>2513</v>
      </c>
      <c r="E1262" s="23" t="str">
        <f>IFERROR(__xludf.DUMMYFUNCTION("REGEXEXTRACT(TO_TEXT(A1262), ""(\d{2}/\d{2}/\d{4})"")"),"28/10/2025")</f>
        <v>28/10/2025</v>
      </c>
      <c r="F1262" s="26">
        <f t="shared" si="1"/>
        <v>45958</v>
      </c>
    </row>
    <row r="1263">
      <c r="A1263" s="11" t="s">
        <v>5100</v>
      </c>
      <c r="B1263" s="25" t="s">
        <v>5101</v>
      </c>
      <c r="C1263" s="11" t="s">
        <v>2514</v>
      </c>
      <c r="D1263" s="11" t="s">
        <v>2515</v>
      </c>
      <c r="E1263" s="23" t="str">
        <f>IFERROR(__xludf.DUMMYFUNCTION("REGEXEXTRACT(TO_TEXT(A1263), ""(\d{2}/\d{2}/\d{4})"")"),"30/10/2025")</f>
        <v>30/10/2025</v>
      </c>
      <c r="F1263" s="26">
        <f t="shared" si="1"/>
        <v>45960</v>
      </c>
    </row>
    <row r="1264">
      <c r="A1264" s="10" t="s">
        <v>5102</v>
      </c>
      <c r="B1264" s="25" t="s">
        <v>5103</v>
      </c>
      <c r="C1264" s="10" t="s">
        <v>2516</v>
      </c>
      <c r="D1264" s="12" t="s">
        <v>2517</v>
      </c>
      <c r="E1264" s="23" t="str">
        <f>IFERROR(__xludf.DUMMYFUNCTION("REGEXEXTRACT(TO_TEXT(A1264), ""(\d{2}/\d{2}/\d{4})"")"),"01/11/2025")</f>
        <v>01/11/2025</v>
      </c>
      <c r="F1264" s="26">
        <f t="shared" si="1"/>
        <v>45962</v>
      </c>
    </row>
    <row r="1265">
      <c r="A1265" s="11" t="s">
        <v>5104</v>
      </c>
      <c r="B1265" s="25" t="s">
        <v>5105</v>
      </c>
      <c r="C1265" s="11" t="s">
        <v>2518</v>
      </c>
      <c r="D1265" s="11" t="s">
        <v>2519</v>
      </c>
      <c r="E1265" s="23" t="str">
        <f>IFERROR(__xludf.DUMMYFUNCTION("REGEXEXTRACT(TO_TEXT(A1265), ""(\d{2}/\d{2}/\d{4})"")"),"04/11/2025")</f>
        <v>04/11/2025</v>
      </c>
      <c r="F1265" s="26">
        <f t="shared" si="1"/>
        <v>45965</v>
      </c>
    </row>
    <row r="1266">
      <c r="A1266" s="10" t="s">
        <v>5106</v>
      </c>
      <c r="B1266" s="25" t="s">
        <v>5107</v>
      </c>
      <c r="C1266" s="10" t="s">
        <v>2520</v>
      </c>
      <c r="D1266" s="10" t="s">
        <v>2521</v>
      </c>
      <c r="E1266" s="23" t="str">
        <f>IFERROR(__xludf.DUMMYFUNCTION("REGEXEXTRACT(TO_TEXT(A1266), ""(\d{2}/\d{2}/\d{4})"")"),"06/11/2025")</f>
        <v>06/11/2025</v>
      </c>
      <c r="F1266" s="26">
        <f t="shared" si="1"/>
        <v>45967</v>
      </c>
    </row>
    <row r="1267">
      <c r="A1267" s="11" t="s">
        <v>5108</v>
      </c>
      <c r="B1267" s="25" t="s">
        <v>5109</v>
      </c>
      <c r="C1267" s="11" t="s">
        <v>2522</v>
      </c>
      <c r="D1267" s="13" t="s">
        <v>2523</v>
      </c>
      <c r="E1267" s="23" t="str">
        <f>IFERROR(__xludf.DUMMYFUNCTION("REGEXEXTRACT(TO_TEXT(A1267), ""(\d{2}/\d{2}/\d{4})"")"),"08/11/2025")</f>
        <v>08/11/2025</v>
      </c>
      <c r="F1267" s="26">
        <f t="shared" si="1"/>
        <v>45969</v>
      </c>
    </row>
    <row r="1268">
      <c r="A1268" s="10" t="s">
        <v>5110</v>
      </c>
      <c r="B1268" s="25" t="s">
        <v>5111</v>
      </c>
      <c r="C1268" s="10" t="s">
        <v>2524</v>
      </c>
      <c r="D1268" s="10" t="s">
        <v>2525</v>
      </c>
      <c r="E1268" s="23" t="str">
        <f>IFERROR(__xludf.DUMMYFUNCTION("REGEXEXTRACT(TO_TEXT(A1268), ""(\d{2}/\d{2}/\d{4})"")"),"11/11/2025")</f>
        <v>11/11/2025</v>
      </c>
      <c r="F1268" s="26">
        <f t="shared" si="1"/>
        <v>45972</v>
      </c>
    </row>
    <row r="1269">
      <c r="A1269" s="11" t="s">
        <v>5112</v>
      </c>
      <c r="B1269" s="25" t="s">
        <v>5113</v>
      </c>
      <c r="C1269" s="11" t="s">
        <v>2526</v>
      </c>
      <c r="D1269" s="11" t="s">
        <v>2527</v>
      </c>
      <c r="E1269" s="23" t="str">
        <f>IFERROR(__xludf.DUMMYFUNCTION("REGEXEXTRACT(TO_TEXT(A1269), ""(\d{2}/\d{2}/\d{4})"")"),"13/11/2025")</f>
        <v>13/11/2025</v>
      </c>
      <c r="F1269" s="26">
        <f t="shared" si="1"/>
        <v>45974</v>
      </c>
    </row>
    <row r="1270">
      <c r="A1270" s="10" t="s">
        <v>5114</v>
      </c>
      <c r="B1270" s="25" t="s">
        <v>5115</v>
      </c>
      <c r="C1270" s="10" t="s">
        <v>2528</v>
      </c>
      <c r="D1270" s="12" t="s">
        <v>2529</v>
      </c>
      <c r="E1270" s="23" t="str">
        <f>IFERROR(__xludf.DUMMYFUNCTION("REGEXEXTRACT(TO_TEXT(A1270), ""(\d{2}/\d{2}/\d{4})"")"),"15/11/2025")</f>
        <v>15/11/2025</v>
      </c>
      <c r="F1270" s="26">
        <f t="shared" si="1"/>
        <v>45976</v>
      </c>
    </row>
    <row r="1271">
      <c r="A1271" s="11" t="s">
        <v>5116</v>
      </c>
      <c r="B1271" s="25" t="s">
        <v>5117</v>
      </c>
      <c r="C1271" s="11" t="s">
        <v>2530</v>
      </c>
      <c r="D1271" s="11" t="s">
        <v>2531</v>
      </c>
      <c r="E1271" s="23" t="str">
        <f>IFERROR(__xludf.DUMMYFUNCTION("REGEXEXTRACT(TO_TEXT(A1271), ""(\d{2}/\d{2}/\d{4})"")"),"18/11/2025")</f>
        <v>18/11/2025</v>
      </c>
      <c r="F1271" s="26">
        <f t="shared" si="1"/>
        <v>45979</v>
      </c>
    </row>
    <row r="1272">
      <c r="A1272" s="10" t="s">
        <v>5118</v>
      </c>
      <c r="B1272" s="25" t="s">
        <v>5119</v>
      </c>
      <c r="C1272" s="10" t="s">
        <v>2532</v>
      </c>
      <c r="D1272" s="12" t="s">
        <v>2533</v>
      </c>
      <c r="E1272" s="23" t="str">
        <f>IFERROR(__xludf.DUMMYFUNCTION("REGEXEXTRACT(TO_TEXT(A1272), ""(\d{2}/\d{2}/\d{4})"")"),"20/11/2025")</f>
        <v>20/11/2025</v>
      </c>
      <c r="F1272" s="26">
        <f t="shared" si="1"/>
        <v>45981</v>
      </c>
    </row>
    <row r="1273">
      <c r="A1273" s="11" t="s">
        <v>5120</v>
      </c>
      <c r="B1273" s="25" t="s">
        <v>5121</v>
      </c>
      <c r="C1273" s="11" t="s">
        <v>2534</v>
      </c>
      <c r="D1273" s="11" t="s">
        <v>2535</v>
      </c>
      <c r="E1273" s="23" t="str">
        <f>IFERROR(__xludf.DUMMYFUNCTION("REGEXEXTRACT(TO_TEXT(A1273), ""(\d{2}/\d{2}/\d{4})"")"),"22/11/2025")</f>
        <v>22/11/2025</v>
      </c>
      <c r="F1273" s="26">
        <f t="shared" si="1"/>
        <v>45983</v>
      </c>
    </row>
    <row r="1274">
      <c r="A1274" s="10" t="s">
        <v>5122</v>
      </c>
      <c r="B1274" s="25" t="s">
        <v>5123</v>
      </c>
      <c r="C1274" s="10" t="s">
        <v>2536</v>
      </c>
      <c r="D1274" s="10" t="s">
        <v>2537</v>
      </c>
      <c r="E1274" s="23" t="str">
        <f>IFERROR(__xludf.DUMMYFUNCTION("REGEXEXTRACT(TO_TEXT(A1274), ""(\d{2}/\d{2}/\d{4})"")"),"25/11/2025")</f>
        <v>25/11/2025</v>
      </c>
      <c r="F1274" s="26">
        <f t="shared" si="1"/>
        <v>45986</v>
      </c>
    </row>
    <row r="1275">
      <c r="A1275" s="11" t="s">
        <v>5124</v>
      </c>
      <c r="B1275" s="25" t="s">
        <v>5125</v>
      </c>
      <c r="C1275" s="11" t="s">
        <v>2538</v>
      </c>
      <c r="D1275" s="11" t="s">
        <v>2539</v>
      </c>
      <c r="E1275" s="23" t="str">
        <f>IFERROR(__xludf.DUMMYFUNCTION("REGEXEXTRACT(TO_TEXT(A1275), ""(\d{2}/\d{2}/\d{4})"")"),"27/11/2025")</f>
        <v>27/11/2025</v>
      </c>
      <c r="F1275" s="26">
        <f t="shared" si="1"/>
        <v>45988</v>
      </c>
    </row>
    <row r="1276">
      <c r="A1276" s="10" t="s">
        <v>5126</v>
      </c>
      <c r="B1276" s="25" t="s">
        <v>5127</v>
      </c>
      <c r="C1276" s="10" t="s">
        <v>2540</v>
      </c>
      <c r="D1276" s="10" t="s">
        <v>2541</v>
      </c>
      <c r="E1276" s="23" t="str">
        <f>IFERROR(__xludf.DUMMYFUNCTION("REGEXEXTRACT(TO_TEXT(A1276), ""(\d{2}/\d{2}/\d{4})"")"),"29/11/2025")</f>
        <v>29/11/2025</v>
      </c>
      <c r="F1276" s="26">
        <f t="shared" si="1"/>
        <v>45990</v>
      </c>
    </row>
    <row r="1277">
      <c r="A1277" s="11" t="s">
        <v>5128</v>
      </c>
      <c r="B1277" s="25" t="s">
        <v>5129</v>
      </c>
      <c r="C1277" s="11" t="s">
        <v>2542</v>
      </c>
      <c r="D1277" s="13" t="s">
        <v>2543</v>
      </c>
      <c r="E1277" s="23" t="str">
        <f>IFERROR(__xludf.DUMMYFUNCTION("REGEXEXTRACT(TO_TEXT(A1277), ""(\d{2}/\d{2}/\d{4})"")"),"02/12/2025")</f>
        <v>02/12/2025</v>
      </c>
      <c r="F1277" s="26">
        <f t="shared" si="1"/>
        <v>45993</v>
      </c>
    </row>
    <row r="1278">
      <c r="A1278" s="10" t="s">
        <v>5130</v>
      </c>
      <c r="B1278" s="25" t="s">
        <v>5131</v>
      </c>
      <c r="C1278" s="10" t="s">
        <v>2544</v>
      </c>
      <c r="D1278" s="10" t="s">
        <v>2545</v>
      </c>
      <c r="E1278" s="23" t="str">
        <f>IFERROR(__xludf.DUMMYFUNCTION("REGEXEXTRACT(TO_TEXT(A1278), ""(\d{2}/\d{2}/\d{4})"")"),"04/12/2025")</f>
        <v>04/12/2025</v>
      </c>
      <c r="F1278" s="26">
        <f t="shared" si="1"/>
        <v>45995</v>
      </c>
    </row>
    <row r="1279">
      <c r="A1279" s="11" t="s">
        <v>5132</v>
      </c>
      <c r="B1279" s="25" t="s">
        <v>5133</v>
      </c>
      <c r="C1279" s="11" t="s">
        <v>2546</v>
      </c>
      <c r="D1279" s="11" t="s">
        <v>2547</v>
      </c>
      <c r="E1279" s="23" t="str">
        <f>IFERROR(__xludf.DUMMYFUNCTION("REGEXEXTRACT(TO_TEXT(A1279), ""(\d{2}/\d{2}/\d{4})"")"),"06/12/2025")</f>
        <v>06/12/2025</v>
      </c>
      <c r="F1279" s="26">
        <f t="shared" si="1"/>
        <v>45997</v>
      </c>
    </row>
    <row r="1280">
      <c r="A1280" s="10" t="s">
        <v>5134</v>
      </c>
      <c r="B1280" s="25" t="s">
        <v>5135</v>
      </c>
      <c r="C1280" s="10" t="s">
        <v>2548</v>
      </c>
      <c r="D1280" s="10" t="s">
        <v>2549</v>
      </c>
      <c r="E1280" s="23" t="str">
        <f>IFERROR(__xludf.DUMMYFUNCTION("REGEXEXTRACT(TO_TEXT(A1280), ""(\d{2}/\d{2}/\d{4})"")"),"09/12/2025")</f>
        <v>09/12/2025</v>
      </c>
      <c r="F1280" s="26">
        <f t="shared" si="1"/>
        <v>46000</v>
      </c>
    </row>
    <row r="1281">
      <c r="A1281" s="11" t="s">
        <v>5136</v>
      </c>
      <c r="B1281" s="25" t="s">
        <v>5137</v>
      </c>
      <c r="C1281" s="11" t="s">
        <v>2550</v>
      </c>
      <c r="D1281" s="13" t="s">
        <v>2551</v>
      </c>
      <c r="E1281" s="23" t="str">
        <f>IFERROR(__xludf.DUMMYFUNCTION("REGEXEXTRACT(TO_TEXT(A1281), ""(\d{2}/\d{2}/\d{4})"")"),"11/12/2025")</f>
        <v>11/12/2025</v>
      </c>
      <c r="F1281" s="26">
        <f t="shared" si="1"/>
        <v>46002</v>
      </c>
    </row>
    <row r="1282">
      <c r="A1282" s="10" t="s">
        <v>5138</v>
      </c>
      <c r="B1282" s="25" t="s">
        <v>5139</v>
      </c>
      <c r="C1282" s="10" t="s">
        <v>2552</v>
      </c>
      <c r="D1282" s="10" t="s">
        <v>2553</v>
      </c>
      <c r="E1282" s="23" t="str">
        <f>IFERROR(__xludf.DUMMYFUNCTION("REGEXEXTRACT(TO_TEXT(A1282), ""(\d{2}/\d{2}/\d{4})"")"),"13/12/2025")</f>
        <v>13/12/2025</v>
      </c>
      <c r="F1282" s="26">
        <f t="shared" si="1"/>
        <v>46004</v>
      </c>
    </row>
    <row r="1283">
      <c r="A1283" s="11" t="s">
        <v>5140</v>
      </c>
      <c r="B1283" s="25" t="s">
        <v>5141</v>
      </c>
      <c r="C1283" s="11" t="s">
        <v>2554</v>
      </c>
      <c r="D1283" s="13" t="s">
        <v>2555</v>
      </c>
      <c r="E1283" s="23" t="str">
        <f>IFERROR(__xludf.DUMMYFUNCTION("REGEXEXTRACT(TO_TEXT(A1283), ""(\d{2}/\d{2}/\d{4})"")"),"16/12/2025")</f>
        <v>16/12/2025</v>
      </c>
      <c r="F1283" s="26">
        <f t="shared" si="1"/>
        <v>46007</v>
      </c>
    </row>
    <row r="1284">
      <c r="A1284" s="10" t="s">
        <v>5142</v>
      </c>
      <c r="B1284" s="25" t="s">
        <v>5143</v>
      </c>
      <c r="C1284" s="10" t="s">
        <v>2556</v>
      </c>
      <c r="D1284" s="10" t="s">
        <v>2557</v>
      </c>
      <c r="E1284" s="23" t="str">
        <f>IFERROR(__xludf.DUMMYFUNCTION("REGEXEXTRACT(TO_TEXT(A1284), ""(\d{2}/\d{2}/\d{4})"")"),"18/12/2025")</f>
        <v>18/12/2025</v>
      </c>
      <c r="F1284" s="26">
        <f t="shared" si="1"/>
        <v>46009</v>
      </c>
    </row>
    <row r="1285">
      <c r="A1285" s="11" t="s">
        <v>5144</v>
      </c>
      <c r="B1285" s="25" t="s">
        <v>5145</v>
      </c>
      <c r="C1285" s="11" t="s">
        <v>2558</v>
      </c>
      <c r="D1285" s="11" t="s">
        <v>2559</v>
      </c>
      <c r="E1285" s="23" t="str">
        <f>IFERROR(__xludf.DUMMYFUNCTION("REGEXEXTRACT(TO_TEXT(A1285), ""(\d{2}/\d{2}/\d{4})"")"),"20/12/2025")</f>
        <v>20/12/2025</v>
      </c>
      <c r="F1285" s="26">
        <f t="shared" si="1"/>
        <v>46011</v>
      </c>
    </row>
    <row r="1286">
      <c r="A1286" s="10" t="s">
        <v>5146</v>
      </c>
      <c r="B1286" s="25" t="s">
        <v>5147</v>
      </c>
      <c r="C1286" s="10" t="s">
        <v>2560</v>
      </c>
      <c r="D1286" s="12" t="s">
        <v>2561</v>
      </c>
      <c r="E1286" s="23" t="str">
        <f>IFERROR(__xludf.DUMMYFUNCTION("REGEXEXTRACT(TO_TEXT(A1286), ""(\d{2}/\d{2}/\d{4})"")"),"23/12/2025")</f>
        <v>23/12/2025</v>
      </c>
      <c r="F1286" s="26">
        <f t="shared" si="1"/>
        <v>46014</v>
      </c>
    </row>
    <row r="1287">
      <c r="A1287" s="11" t="s">
        <v>5148</v>
      </c>
      <c r="B1287" s="25" t="s">
        <v>5149</v>
      </c>
      <c r="C1287" s="11" t="s">
        <v>2562</v>
      </c>
      <c r="D1287" s="11" t="s">
        <v>2563</v>
      </c>
      <c r="E1287" s="23" t="str">
        <f>IFERROR(__xludf.DUMMYFUNCTION("REGEXEXTRACT(TO_TEXT(A1287), ""(\d{2}/\d{2}/\d{4})"")"),"25/12/2025")</f>
        <v>25/12/2025</v>
      </c>
      <c r="F1287" s="26">
        <f t="shared" si="1"/>
        <v>46016</v>
      </c>
    </row>
    <row r="1288">
      <c r="A1288" s="10" t="s">
        <v>5150</v>
      </c>
      <c r="B1288" s="25" t="s">
        <v>5151</v>
      </c>
      <c r="C1288" s="10" t="s">
        <v>2564</v>
      </c>
      <c r="D1288" s="10" t="s">
        <v>2565</v>
      </c>
      <c r="E1288" s="23" t="str">
        <f>IFERROR(__xludf.DUMMYFUNCTION("REGEXEXTRACT(TO_TEXT(A1288), ""(\d{2}/\d{2}/\d{4})"")"),"27/12/2025")</f>
        <v>27/12/2025</v>
      </c>
      <c r="F1288" s="26">
        <f t="shared" si="1"/>
        <v>46018</v>
      </c>
    </row>
    <row r="1289">
      <c r="A1289" s="11" t="s">
        <v>5152</v>
      </c>
      <c r="B1289" s="25" t="s">
        <v>5153</v>
      </c>
      <c r="C1289" s="11" t="s">
        <v>2566</v>
      </c>
      <c r="D1289" s="11" t="s">
        <v>2567</v>
      </c>
      <c r="E1289" s="23" t="str">
        <f>IFERROR(__xludf.DUMMYFUNCTION("REGEXEXTRACT(TO_TEXT(A1289), ""(\d{2}/\d{2}/\d{4})"")"),"30/12/2025")</f>
        <v>30/12/2025</v>
      </c>
      <c r="F1289" s="26">
        <f t="shared" si="1"/>
        <v>46021</v>
      </c>
    </row>
    <row r="1290">
      <c r="A1290" s="10" t="s">
        <v>5154</v>
      </c>
      <c r="B1290" s="25" t="s">
        <v>5155</v>
      </c>
      <c r="C1290" s="10" t="s">
        <v>2568</v>
      </c>
      <c r="D1290" s="10" t="s">
        <v>2569</v>
      </c>
      <c r="E1290" s="23" t="str">
        <f>IFERROR(__xludf.DUMMYFUNCTION("REGEXEXTRACT(TO_TEXT(A1290), ""(\d{2}/\d{2}/\d{4})"")"),"01/01/2026")</f>
        <v>01/01/2026</v>
      </c>
      <c r="F1290" s="26">
        <f t="shared" si="1"/>
        <v>46023</v>
      </c>
    </row>
    <row r="1291">
      <c r="A1291" s="10"/>
      <c r="B1291" s="22"/>
      <c r="C1291" s="10"/>
      <c r="D1291" s="10"/>
      <c r="E1291" s="23"/>
      <c r="F1291" s="26"/>
    </row>
    <row r="1292">
      <c r="A1292" s="10"/>
      <c r="B1292" s="22"/>
      <c r="C1292" s="10"/>
      <c r="D1292" s="10"/>
      <c r="E1292" s="23"/>
      <c r="F1292" s="26"/>
    </row>
    <row r="1293">
      <c r="A1293" s="10"/>
      <c r="B1293" s="22"/>
      <c r="C1293" s="10"/>
      <c r="D1293" s="10"/>
      <c r="E1293" s="23"/>
      <c r="F1293" s="26"/>
    </row>
    <row r="1294">
      <c r="A1294" s="10"/>
      <c r="B1294" s="22"/>
      <c r="C1294" s="10"/>
      <c r="D1294" s="10"/>
      <c r="E1294" s="23"/>
      <c r="F1294" s="26"/>
    </row>
    <row r="1295">
      <c r="A1295" s="10"/>
      <c r="B1295" s="22"/>
      <c r="C1295" s="10"/>
      <c r="D1295" s="10"/>
      <c r="E1295" s="23"/>
      <c r="F1295" s="26"/>
    </row>
    <row r="1296">
      <c r="A1296" s="10"/>
      <c r="B1296" s="22"/>
      <c r="C1296" s="10"/>
      <c r="D1296" s="10"/>
      <c r="E1296" s="23"/>
      <c r="F1296" s="26"/>
    </row>
    <row r="1297">
      <c r="A1297" s="10"/>
      <c r="B1297" s="22"/>
      <c r="C1297" s="10"/>
      <c r="D1297" s="10"/>
      <c r="E1297" s="23"/>
      <c r="F1297" s="26"/>
    </row>
    <row r="1298">
      <c r="A1298" s="10"/>
      <c r="B1298" s="22"/>
      <c r="C1298" s="10"/>
      <c r="D1298" s="10"/>
      <c r="E1298" s="23"/>
      <c r="F1298" s="26"/>
    </row>
    <row r="1299">
      <c r="A1299" s="10"/>
      <c r="B1299" s="22"/>
      <c r="C1299" s="10"/>
      <c r="D1299" s="10"/>
      <c r="E1299" s="23"/>
      <c r="F1299" s="26"/>
    </row>
    <row r="1300">
      <c r="A1300" s="10"/>
      <c r="B1300" s="22"/>
      <c r="C1300" s="10"/>
      <c r="D1300" s="10"/>
      <c r="E1300" s="23"/>
      <c r="F1300" s="26"/>
    </row>
    <row r="1301">
      <c r="A1301" s="10"/>
      <c r="B1301" s="22"/>
      <c r="C1301" s="10"/>
      <c r="D1301" s="10"/>
      <c r="E1301" s="23"/>
      <c r="F1301" s="26"/>
    </row>
    <row r="1302">
      <c r="A1302" s="10"/>
      <c r="B1302" s="22"/>
      <c r="C1302" s="10"/>
      <c r="D1302" s="10"/>
      <c r="E1302" s="23"/>
      <c r="F1302" s="26"/>
    </row>
    <row r="1303">
      <c r="A1303" s="10"/>
      <c r="B1303" s="22"/>
      <c r="C1303" s="10"/>
      <c r="D1303" s="10"/>
      <c r="E1303" s="23"/>
      <c r="F1303" s="26"/>
    </row>
    <row r="1304">
      <c r="A1304" s="10"/>
      <c r="B1304" s="22"/>
      <c r="C1304" s="10"/>
      <c r="D1304" s="10"/>
      <c r="E1304" s="23"/>
      <c r="F1304" s="26"/>
    </row>
    <row r="1305">
      <c r="A1305" s="10"/>
      <c r="B1305" s="22"/>
      <c r="C1305" s="10"/>
      <c r="D1305" s="10"/>
      <c r="E1305" s="23"/>
      <c r="F1305" s="26"/>
    </row>
    <row r="1306">
      <c r="A1306" s="10"/>
      <c r="B1306" s="22"/>
      <c r="C1306" s="10"/>
      <c r="D1306" s="10"/>
      <c r="E1306" s="23"/>
      <c r="F1306" s="26"/>
    </row>
    <row r="1307">
      <c r="A1307" s="10"/>
      <c r="B1307" s="22"/>
      <c r="C1307" s="10"/>
      <c r="D1307" s="10"/>
      <c r="E1307" s="23"/>
      <c r="F1307" s="26"/>
    </row>
    <row r="1308">
      <c r="A1308" s="10"/>
      <c r="B1308" s="22"/>
      <c r="C1308" s="10"/>
      <c r="D1308" s="10"/>
      <c r="E1308" s="23"/>
      <c r="F1308" s="26"/>
    </row>
    <row r="1309">
      <c r="A1309" s="10"/>
      <c r="B1309" s="22"/>
      <c r="C1309" s="10"/>
      <c r="D1309" s="10"/>
      <c r="E1309" s="23"/>
      <c r="F1309" s="26"/>
    </row>
    <row r="1310">
      <c r="A1310" s="10"/>
      <c r="B1310" s="22"/>
      <c r="C1310" s="10"/>
      <c r="D1310" s="10"/>
      <c r="E1310" s="23"/>
      <c r="F1310" s="26"/>
    </row>
    <row r="1311">
      <c r="A1311" s="10"/>
      <c r="B1311" s="22"/>
      <c r="C1311" s="10"/>
      <c r="D1311" s="10"/>
      <c r="E1311" s="23"/>
      <c r="F1311" s="26"/>
    </row>
    <row r="1312">
      <c r="A1312" s="10"/>
      <c r="B1312" s="22"/>
      <c r="C1312" s="10"/>
      <c r="D1312" s="10"/>
      <c r="E1312" s="23"/>
      <c r="F1312" s="26"/>
    </row>
    <row r="1313">
      <c r="A1313" s="10"/>
      <c r="B1313" s="22"/>
      <c r="C1313" s="10"/>
      <c r="D1313" s="10"/>
      <c r="E1313" s="23"/>
      <c r="F1313" s="26"/>
    </row>
    <row r="1314">
      <c r="A1314" s="10"/>
      <c r="B1314" s="22"/>
      <c r="C1314" s="10"/>
      <c r="D1314" s="10"/>
      <c r="E1314" s="23"/>
      <c r="F1314" s="26"/>
    </row>
    <row r="1315">
      <c r="A1315" s="10"/>
      <c r="B1315" s="22"/>
      <c r="C1315" s="10"/>
      <c r="D1315" s="10"/>
      <c r="E1315" s="23"/>
      <c r="F1315" s="26"/>
    </row>
    <row r="1316">
      <c r="A1316" s="10"/>
      <c r="B1316" s="22"/>
      <c r="C1316" s="10"/>
      <c r="D1316" s="10"/>
      <c r="E1316" s="23"/>
      <c r="F1316" s="26"/>
    </row>
    <row r="1317">
      <c r="A1317" s="10"/>
      <c r="B1317" s="22"/>
      <c r="C1317" s="10"/>
      <c r="D1317" s="10"/>
      <c r="E1317" s="23"/>
      <c r="F1317" s="26"/>
    </row>
    <row r="1318">
      <c r="A1318" s="10"/>
      <c r="B1318" s="22"/>
      <c r="C1318" s="10"/>
      <c r="D1318" s="10"/>
      <c r="E1318" s="23"/>
      <c r="F1318" s="26"/>
    </row>
    <row r="1319">
      <c r="A1319" s="10"/>
      <c r="B1319" s="22"/>
      <c r="C1319" s="10"/>
      <c r="D1319" s="10"/>
      <c r="E1319" s="23"/>
      <c r="F1319" s="26"/>
    </row>
    <row r="1320">
      <c r="A1320" s="10"/>
      <c r="B1320" s="22"/>
      <c r="C1320" s="10"/>
      <c r="D1320" s="10"/>
      <c r="E1320" s="23"/>
      <c r="F1320" s="26"/>
    </row>
    <row r="1321">
      <c r="A1321" s="10"/>
      <c r="B1321" s="22"/>
      <c r="C1321" s="10"/>
      <c r="D1321" s="10"/>
      <c r="E1321" s="23"/>
      <c r="F1321" s="26"/>
    </row>
    <row r="1322">
      <c r="A1322" s="10"/>
      <c r="B1322" s="22"/>
      <c r="C1322" s="10"/>
      <c r="D1322" s="10"/>
      <c r="E1322" s="23"/>
      <c r="F1322" s="26"/>
    </row>
    <row r="1323">
      <c r="A1323" s="10"/>
      <c r="B1323" s="22"/>
      <c r="C1323" s="10"/>
      <c r="D1323" s="10"/>
      <c r="E1323" s="23"/>
      <c r="F1323" s="26"/>
    </row>
    <row r="1324">
      <c r="A1324" s="10"/>
      <c r="B1324" s="22"/>
      <c r="C1324" s="10"/>
      <c r="D1324" s="10"/>
      <c r="E1324" s="23"/>
      <c r="F1324" s="26"/>
    </row>
    <row r="1325">
      <c r="A1325" s="10"/>
      <c r="B1325" s="22"/>
      <c r="C1325" s="10"/>
      <c r="D1325" s="10"/>
      <c r="E1325" s="23"/>
      <c r="F1325" s="26"/>
    </row>
    <row r="1326">
      <c r="A1326" s="10"/>
      <c r="B1326" s="22"/>
      <c r="C1326" s="10"/>
      <c r="D1326" s="10"/>
      <c r="E1326" s="23"/>
      <c r="F1326" s="26"/>
    </row>
    <row r="1327">
      <c r="A1327" s="10"/>
      <c r="B1327" s="22"/>
      <c r="C1327" s="10"/>
      <c r="D1327" s="10"/>
      <c r="E1327" s="23"/>
      <c r="F1327" s="26"/>
    </row>
    <row r="1328">
      <c r="A1328" s="10"/>
      <c r="B1328" s="22"/>
      <c r="C1328" s="10"/>
      <c r="D1328" s="10"/>
      <c r="E1328" s="23"/>
      <c r="F1328" s="26"/>
    </row>
    <row r="1329">
      <c r="A1329" s="10"/>
      <c r="B1329" s="22"/>
      <c r="C1329" s="10"/>
      <c r="D1329" s="10"/>
      <c r="E1329" s="23"/>
      <c r="F1329" s="26"/>
    </row>
    <row r="1330">
      <c r="A1330" s="10"/>
      <c r="B1330" s="22"/>
      <c r="C1330" s="10"/>
      <c r="D1330" s="10"/>
      <c r="E1330" s="23"/>
      <c r="F1330" s="26"/>
    </row>
    <row r="1331">
      <c r="A1331" s="10"/>
      <c r="B1331" s="22"/>
      <c r="C1331" s="10"/>
      <c r="D1331" s="10"/>
      <c r="E1331" s="23"/>
      <c r="F1331" s="26"/>
    </row>
    <row r="1332">
      <c r="A1332" s="10"/>
      <c r="B1332" s="22"/>
      <c r="C1332" s="10"/>
      <c r="D1332" s="10"/>
      <c r="E1332" s="23"/>
      <c r="F1332" s="26"/>
    </row>
    <row r="1333">
      <c r="A1333" s="10"/>
      <c r="B1333" s="22"/>
      <c r="C1333" s="10"/>
      <c r="D1333" s="10"/>
      <c r="E1333" s="23"/>
      <c r="F1333" s="26"/>
    </row>
    <row r="1334">
      <c r="A1334" s="10"/>
      <c r="B1334" s="22"/>
      <c r="C1334" s="10"/>
      <c r="D1334" s="10"/>
      <c r="E1334" s="23"/>
      <c r="F1334" s="26"/>
    </row>
    <row r="1335">
      <c r="A1335" s="10"/>
      <c r="B1335" s="22"/>
      <c r="C1335" s="10"/>
      <c r="D1335" s="10"/>
      <c r="E1335" s="23"/>
      <c r="F1335" s="26"/>
    </row>
    <row r="1336">
      <c r="A1336" s="10"/>
      <c r="B1336" s="22"/>
      <c r="C1336" s="10"/>
      <c r="D1336" s="10"/>
      <c r="E1336" s="23"/>
      <c r="F1336" s="26"/>
    </row>
    <row r="1337">
      <c r="A1337" s="10"/>
      <c r="B1337" s="22"/>
      <c r="C1337" s="10"/>
      <c r="D1337" s="10"/>
      <c r="E1337" s="23"/>
      <c r="F1337" s="26"/>
    </row>
    <row r="1338">
      <c r="A1338" s="10"/>
      <c r="B1338" s="22"/>
      <c r="C1338" s="10"/>
      <c r="D1338" s="10"/>
      <c r="E1338" s="23"/>
      <c r="F1338" s="26"/>
    </row>
    <row r="1339">
      <c r="A1339" s="10"/>
      <c r="B1339" s="22"/>
      <c r="C1339" s="10"/>
      <c r="D1339" s="10"/>
      <c r="E1339" s="23"/>
      <c r="F1339" s="26"/>
    </row>
    <row r="1340">
      <c r="A1340" s="10"/>
      <c r="B1340" s="22"/>
      <c r="C1340" s="10"/>
      <c r="D1340" s="10"/>
      <c r="E1340" s="23"/>
      <c r="F1340" s="26"/>
    </row>
    <row r="1341">
      <c r="A1341" s="10"/>
      <c r="B1341" s="22"/>
      <c r="C1341" s="10"/>
      <c r="D1341" s="10"/>
      <c r="E1341" s="23"/>
      <c r="F1341" s="26"/>
    </row>
    <row r="1342">
      <c r="A1342" s="10"/>
      <c r="B1342" s="22"/>
      <c r="C1342" s="10"/>
      <c r="D1342" s="10"/>
      <c r="E1342" s="23"/>
      <c r="F1342" s="26"/>
    </row>
    <row r="1343">
      <c r="A1343" s="10"/>
      <c r="B1343" s="22"/>
      <c r="C1343" s="10"/>
      <c r="D1343" s="10"/>
      <c r="E1343" s="23"/>
      <c r="F1343" s="26"/>
    </row>
    <row r="1344">
      <c r="A1344" s="10"/>
      <c r="B1344" s="22"/>
      <c r="C1344" s="10"/>
      <c r="D1344" s="10"/>
      <c r="E1344" s="23"/>
      <c r="F1344" s="26"/>
    </row>
    <row r="1345">
      <c r="A1345" s="10"/>
      <c r="B1345" s="22"/>
      <c r="C1345" s="10"/>
      <c r="D1345" s="10"/>
      <c r="E1345" s="23"/>
      <c r="F1345" s="26"/>
    </row>
    <row r="1346">
      <c r="A1346" s="10"/>
      <c r="B1346" s="22"/>
      <c r="C1346" s="10"/>
      <c r="D1346" s="10"/>
      <c r="E1346" s="23"/>
      <c r="F1346" s="26"/>
    </row>
    <row r="1347">
      <c r="A1347" s="10"/>
      <c r="B1347" s="22"/>
      <c r="C1347" s="10"/>
      <c r="D1347" s="10"/>
      <c r="E1347" s="23"/>
      <c r="F1347" s="26"/>
    </row>
    <row r="1348">
      <c r="A1348" s="10"/>
      <c r="B1348" s="22"/>
      <c r="C1348" s="10"/>
      <c r="D1348" s="10"/>
      <c r="E1348" s="23"/>
      <c r="F1348" s="26"/>
    </row>
    <row r="1349">
      <c r="A1349" s="10"/>
      <c r="B1349" s="22"/>
      <c r="C1349" s="10"/>
      <c r="D1349" s="10"/>
      <c r="E1349" s="23"/>
      <c r="F1349" s="26"/>
    </row>
    <row r="1350">
      <c r="A1350" s="10"/>
      <c r="B1350" s="22"/>
      <c r="C1350" s="10"/>
      <c r="D1350" s="10"/>
      <c r="E1350" s="23"/>
      <c r="F1350" s="26"/>
    </row>
    <row r="1351">
      <c r="A1351" s="10"/>
      <c r="B1351" s="22"/>
      <c r="C1351" s="10"/>
      <c r="D1351" s="10"/>
      <c r="E1351" s="23"/>
      <c r="F1351" s="26"/>
    </row>
    <row r="1352">
      <c r="A1352" s="10"/>
      <c r="B1352" s="22"/>
      <c r="C1352" s="10"/>
      <c r="D1352" s="10"/>
      <c r="E1352" s="23"/>
      <c r="F1352" s="26"/>
    </row>
    <row r="1353">
      <c r="A1353" s="10"/>
      <c r="B1353" s="22"/>
      <c r="C1353" s="10"/>
      <c r="D1353" s="10"/>
      <c r="E1353" s="23"/>
      <c r="F1353" s="26"/>
    </row>
    <row r="1354">
      <c r="A1354" s="10"/>
      <c r="B1354" s="22"/>
      <c r="C1354" s="10"/>
      <c r="D1354" s="10"/>
      <c r="E1354" s="23"/>
      <c r="F1354" s="26"/>
    </row>
    <row r="1355">
      <c r="A1355" s="10"/>
      <c r="B1355" s="22"/>
      <c r="C1355" s="10"/>
      <c r="D1355" s="10"/>
      <c r="E1355" s="23"/>
      <c r="F1355" s="26"/>
    </row>
    <row r="1356">
      <c r="A1356" s="10"/>
      <c r="B1356" s="22"/>
      <c r="C1356" s="10"/>
      <c r="D1356" s="10"/>
      <c r="E1356" s="23"/>
      <c r="F1356" s="26"/>
    </row>
    <row r="1357">
      <c r="A1357" s="10"/>
      <c r="B1357" s="22"/>
      <c r="C1357" s="10"/>
      <c r="D1357" s="10"/>
      <c r="E1357" s="23"/>
      <c r="F1357" s="26"/>
    </row>
    <row r="1358">
      <c r="A1358" s="10"/>
      <c r="B1358" s="22"/>
      <c r="C1358" s="10"/>
      <c r="D1358" s="10"/>
      <c r="E1358" s="23"/>
      <c r="F1358" s="26"/>
    </row>
    <row r="1359">
      <c r="A1359" s="10"/>
      <c r="B1359" s="22"/>
      <c r="C1359" s="10"/>
      <c r="D1359" s="10"/>
      <c r="E1359" s="23"/>
      <c r="F1359" s="26"/>
    </row>
    <row r="1360">
      <c r="A1360" s="10"/>
      <c r="B1360" s="22"/>
      <c r="C1360" s="10"/>
      <c r="D1360" s="10"/>
      <c r="E1360" s="23"/>
      <c r="F1360" s="26"/>
    </row>
    <row r="1361">
      <c r="A1361" s="10"/>
      <c r="B1361" s="22"/>
      <c r="C1361" s="10"/>
      <c r="D1361" s="10"/>
      <c r="E1361" s="23"/>
      <c r="F1361" s="26"/>
    </row>
    <row r="1362">
      <c r="A1362" s="10"/>
      <c r="B1362" s="22"/>
      <c r="C1362" s="10"/>
      <c r="D1362" s="10"/>
      <c r="E1362" s="23"/>
      <c r="F1362" s="26"/>
    </row>
    <row r="1363">
      <c r="A1363" s="10"/>
      <c r="B1363" s="22"/>
      <c r="C1363" s="10"/>
      <c r="D1363" s="10"/>
      <c r="E1363" s="23"/>
      <c r="F1363" s="26"/>
    </row>
    <row r="1364">
      <c r="A1364" s="10"/>
      <c r="B1364" s="22"/>
      <c r="C1364" s="10"/>
      <c r="D1364" s="10"/>
      <c r="E1364" s="23"/>
      <c r="F1364" s="26"/>
    </row>
    <row r="1365">
      <c r="A1365" s="10"/>
      <c r="B1365" s="22"/>
      <c r="C1365" s="10"/>
      <c r="D1365" s="10"/>
      <c r="E1365" s="23"/>
      <c r="F1365" s="26"/>
    </row>
    <row r="1366">
      <c r="A1366" s="10"/>
      <c r="B1366" s="22"/>
      <c r="C1366" s="10"/>
      <c r="D1366" s="10"/>
      <c r="E1366" s="23"/>
      <c r="F1366" s="26"/>
    </row>
    <row r="1367">
      <c r="A1367" s="10"/>
      <c r="B1367" s="22"/>
      <c r="C1367" s="10"/>
      <c r="D1367" s="10"/>
      <c r="E1367" s="23"/>
      <c r="F1367" s="26"/>
    </row>
    <row r="1368">
      <c r="A1368" s="10"/>
      <c r="B1368" s="22"/>
      <c r="C1368" s="10"/>
      <c r="D1368" s="10"/>
      <c r="E1368" s="23"/>
      <c r="F1368" s="26"/>
    </row>
    <row r="1369">
      <c r="A1369" s="10"/>
      <c r="B1369" s="22"/>
      <c r="C1369" s="10"/>
      <c r="D1369" s="10"/>
      <c r="E1369" s="23"/>
      <c r="F1369" s="26"/>
    </row>
    <row r="1370">
      <c r="A1370" s="10"/>
      <c r="B1370" s="22"/>
      <c r="C1370" s="10"/>
      <c r="D1370" s="10"/>
      <c r="E1370" s="23"/>
      <c r="F1370" s="26"/>
    </row>
    <row r="1371">
      <c r="A1371" s="10"/>
      <c r="B1371" s="22"/>
      <c r="C1371" s="10"/>
      <c r="D1371" s="10"/>
      <c r="E1371" s="23"/>
      <c r="F1371" s="26"/>
    </row>
    <row r="1372">
      <c r="A1372" s="10"/>
      <c r="B1372" s="22"/>
      <c r="C1372" s="10"/>
      <c r="D1372" s="10"/>
      <c r="E1372" s="23"/>
      <c r="F1372" s="26"/>
    </row>
    <row r="1373">
      <c r="A1373" s="10"/>
      <c r="B1373" s="22"/>
      <c r="C1373" s="10"/>
      <c r="D1373" s="10"/>
      <c r="E1373" s="23"/>
      <c r="F1373" s="26"/>
    </row>
    <row r="1374">
      <c r="A1374" s="10"/>
      <c r="B1374" s="22"/>
      <c r="C1374" s="10"/>
      <c r="D1374" s="10"/>
      <c r="E1374" s="23"/>
      <c r="F1374" s="26"/>
    </row>
    <row r="1375">
      <c r="A1375" s="10"/>
      <c r="B1375" s="22"/>
      <c r="C1375" s="10"/>
      <c r="D1375" s="10"/>
      <c r="E1375" s="23"/>
      <c r="F1375" s="26"/>
    </row>
    <row r="1376">
      <c r="A1376" s="10"/>
      <c r="B1376" s="22"/>
      <c r="C1376" s="10"/>
      <c r="D1376" s="10"/>
      <c r="E1376" s="23"/>
      <c r="F1376" s="26"/>
    </row>
    <row r="1377">
      <c r="A1377" s="10"/>
      <c r="B1377" s="22"/>
      <c r="C1377" s="10"/>
      <c r="D1377" s="10"/>
      <c r="E1377" s="23"/>
      <c r="F1377" s="26"/>
    </row>
    <row r="1378">
      <c r="A1378" s="10"/>
      <c r="B1378" s="22"/>
      <c r="C1378" s="10"/>
      <c r="D1378" s="10"/>
      <c r="E1378" s="23"/>
      <c r="F1378" s="26"/>
    </row>
    <row r="1379">
      <c r="A1379" s="10"/>
      <c r="B1379" s="22"/>
      <c r="C1379" s="10"/>
      <c r="D1379" s="10"/>
      <c r="E1379" s="23"/>
      <c r="F1379" s="26"/>
    </row>
    <row r="1380">
      <c r="A1380" s="10"/>
      <c r="B1380" s="22"/>
      <c r="C1380" s="10"/>
      <c r="D1380" s="10"/>
      <c r="E1380" s="23"/>
      <c r="F1380" s="26"/>
    </row>
    <row r="1381">
      <c r="A1381" s="10"/>
      <c r="B1381" s="22"/>
      <c r="C1381" s="10"/>
      <c r="D1381" s="10"/>
      <c r="E1381" s="23"/>
      <c r="F1381" s="26"/>
    </row>
    <row r="1382">
      <c r="A1382" s="10"/>
      <c r="B1382" s="22"/>
      <c r="C1382" s="10"/>
      <c r="D1382" s="10"/>
      <c r="E1382" s="23"/>
      <c r="F1382" s="26"/>
    </row>
    <row r="1383">
      <c r="A1383" s="10"/>
      <c r="B1383" s="22"/>
      <c r="C1383" s="10"/>
      <c r="D1383" s="10"/>
      <c r="E1383" s="23"/>
      <c r="F1383" s="26"/>
    </row>
    <row r="1384">
      <c r="A1384" s="10"/>
      <c r="B1384" s="22"/>
      <c r="C1384" s="10"/>
      <c r="D1384" s="10"/>
      <c r="E1384" s="23"/>
      <c r="F1384" s="26"/>
    </row>
    <row r="1385">
      <c r="A1385" s="10"/>
      <c r="B1385" s="22"/>
      <c r="C1385" s="10"/>
      <c r="D1385" s="10"/>
      <c r="E1385" s="23"/>
      <c r="F1385" s="26"/>
    </row>
    <row r="1386">
      <c r="A1386" s="10"/>
      <c r="B1386" s="22"/>
      <c r="C1386" s="10"/>
      <c r="D1386" s="10"/>
      <c r="E1386" s="23"/>
      <c r="F1386" s="26"/>
    </row>
    <row r="1387">
      <c r="A1387" s="10"/>
      <c r="B1387" s="22"/>
      <c r="C1387" s="10"/>
      <c r="D1387" s="10"/>
      <c r="E1387" s="23"/>
      <c r="F1387" s="26"/>
    </row>
    <row r="1388">
      <c r="A1388" s="10"/>
      <c r="B1388" s="22"/>
      <c r="C1388" s="10"/>
      <c r="D1388" s="10"/>
      <c r="E1388" s="23"/>
      <c r="F1388" s="26"/>
    </row>
    <row r="1389">
      <c r="A1389" s="10"/>
      <c r="B1389" s="22"/>
      <c r="C1389" s="10"/>
      <c r="D1389" s="10"/>
      <c r="E1389" s="23"/>
      <c r="F1389" s="26"/>
    </row>
    <row r="1390">
      <c r="A1390" s="10"/>
      <c r="B1390" s="22"/>
      <c r="C1390" s="10"/>
      <c r="D1390" s="10"/>
      <c r="E1390" s="23"/>
      <c r="F1390" s="26"/>
    </row>
    <row r="1391">
      <c r="A1391" s="10"/>
      <c r="B1391" s="22"/>
      <c r="C1391" s="10"/>
      <c r="D1391" s="10"/>
      <c r="E1391" s="23"/>
      <c r="F1391" s="26"/>
    </row>
    <row r="1392">
      <c r="A1392" s="10"/>
      <c r="B1392" s="22"/>
      <c r="C1392" s="10"/>
      <c r="D1392" s="10"/>
      <c r="E1392" s="23"/>
      <c r="F1392" s="26"/>
    </row>
    <row r="1393">
      <c r="A1393" s="10"/>
      <c r="B1393" s="22"/>
      <c r="C1393" s="10"/>
      <c r="D1393" s="10"/>
      <c r="E1393" s="23"/>
      <c r="F1393" s="26"/>
    </row>
    <row r="1394">
      <c r="A1394" s="10"/>
      <c r="B1394" s="22"/>
      <c r="C1394" s="10"/>
      <c r="D1394" s="10"/>
      <c r="E1394" s="23"/>
      <c r="F1394" s="26"/>
    </row>
    <row r="1395">
      <c r="A1395" s="10"/>
      <c r="B1395" s="22"/>
      <c r="C1395" s="10"/>
      <c r="D1395" s="10"/>
      <c r="E1395" s="23"/>
      <c r="F1395" s="26"/>
    </row>
    <row r="1396">
      <c r="A1396" s="10"/>
      <c r="B1396" s="22"/>
      <c r="C1396" s="10"/>
      <c r="D1396" s="10"/>
      <c r="E1396" s="23"/>
      <c r="F1396" s="26"/>
    </row>
    <row r="1397">
      <c r="A1397" s="10"/>
      <c r="B1397" s="22"/>
      <c r="C1397" s="10"/>
      <c r="D1397" s="10"/>
      <c r="E1397" s="23"/>
      <c r="F1397" s="26"/>
    </row>
    <row r="1398">
      <c r="A1398" s="10"/>
      <c r="B1398" s="22"/>
      <c r="C1398" s="10"/>
      <c r="D1398" s="10"/>
      <c r="E1398" s="23"/>
      <c r="F1398" s="26"/>
    </row>
    <row r="1399">
      <c r="A1399" s="10"/>
      <c r="B1399" s="22"/>
      <c r="C1399" s="10"/>
      <c r="D1399" s="10"/>
      <c r="E1399" s="23"/>
      <c r="F1399" s="26"/>
    </row>
    <row r="1400">
      <c r="A1400" s="10"/>
      <c r="B1400" s="22"/>
      <c r="C1400" s="10"/>
      <c r="D1400" s="10"/>
      <c r="E1400" s="23"/>
      <c r="F1400" s="26"/>
    </row>
    <row r="1401">
      <c r="A1401" s="10"/>
      <c r="B1401" s="22"/>
      <c r="C1401" s="10"/>
      <c r="D1401" s="10"/>
      <c r="E1401" s="23"/>
      <c r="F1401" s="26"/>
    </row>
    <row r="1402">
      <c r="A1402" s="10"/>
      <c r="B1402" s="22"/>
      <c r="C1402" s="10"/>
      <c r="D1402" s="10"/>
      <c r="E1402" s="23"/>
      <c r="F1402" s="26"/>
    </row>
    <row r="1403">
      <c r="A1403" s="10"/>
      <c r="B1403" s="22"/>
      <c r="C1403" s="10"/>
      <c r="D1403" s="10"/>
      <c r="E1403" s="23"/>
      <c r="F1403" s="26"/>
    </row>
    <row r="1404">
      <c r="A1404" s="10"/>
      <c r="B1404" s="22"/>
      <c r="C1404" s="10"/>
      <c r="D1404" s="10"/>
      <c r="E1404" s="23"/>
      <c r="F1404" s="26"/>
    </row>
    <row r="1405">
      <c r="A1405" s="10"/>
      <c r="B1405" s="22"/>
      <c r="C1405" s="10"/>
      <c r="D1405" s="10"/>
      <c r="E1405" s="23"/>
      <c r="F1405" s="26"/>
    </row>
    <row r="1406">
      <c r="A1406" s="10"/>
      <c r="B1406" s="22"/>
      <c r="C1406" s="10"/>
      <c r="D1406" s="10"/>
      <c r="E1406" s="23"/>
      <c r="F1406" s="26"/>
    </row>
    <row r="1407">
      <c r="A1407" s="10"/>
      <c r="B1407" s="22"/>
      <c r="C1407" s="10"/>
      <c r="D1407" s="10"/>
      <c r="E1407" s="23"/>
      <c r="F1407" s="26"/>
    </row>
    <row r="1408">
      <c r="A1408" s="10"/>
      <c r="B1408" s="22"/>
      <c r="C1408" s="10"/>
      <c r="D1408" s="10"/>
      <c r="E1408" s="23"/>
      <c r="F1408" s="26"/>
    </row>
    <row r="1409">
      <c r="A1409" s="10"/>
      <c r="B1409" s="22"/>
      <c r="C1409" s="10"/>
      <c r="D1409" s="10"/>
      <c r="E1409" s="23"/>
      <c r="F1409" s="26"/>
    </row>
    <row r="1410">
      <c r="A1410" s="10"/>
      <c r="B1410" s="22"/>
      <c r="C1410" s="10"/>
      <c r="D1410" s="10"/>
      <c r="E1410" s="23"/>
      <c r="F1410" s="26"/>
    </row>
    <row r="1411">
      <c r="A1411" s="10"/>
      <c r="B1411" s="22"/>
      <c r="C1411" s="10"/>
      <c r="D1411" s="10"/>
      <c r="E1411" s="23"/>
      <c r="F1411" s="26"/>
    </row>
    <row r="1412">
      <c r="A1412" s="10"/>
      <c r="B1412" s="22"/>
      <c r="C1412" s="10"/>
      <c r="D1412" s="10"/>
      <c r="E1412" s="23"/>
      <c r="F1412" s="26"/>
    </row>
    <row r="1413">
      <c r="A1413" s="10"/>
      <c r="B1413" s="22"/>
      <c r="C1413" s="10"/>
      <c r="D1413" s="10"/>
      <c r="E1413" s="23"/>
      <c r="F1413" s="26"/>
    </row>
    <row r="1414">
      <c r="A1414" s="10"/>
      <c r="B1414" s="22"/>
      <c r="C1414" s="10"/>
      <c r="D1414" s="10"/>
      <c r="E1414" s="23"/>
      <c r="F1414" s="26"/>
    </row>
    <row r="1415">
      <c r="A1415" s="10"/>
      <c r="B1415" s="22"/>
      <c r="C1415" s="10"/>
      <c r="D1415" s="10"/>
      <c r="E1415" s="23"/>
      <c r="F1415" s="26"/>
    </row>
    <row r="1416">
      <c r="A1416" s="10"/>
      <c r="B1416" s="22"/>
      <c r="C1416" s="10"/>
      <c r="D1416" s="10"/>
      <c r="E1416" s="23"/>
      <c r="F1416" s="26"/>
    </row>
    <row r="1417">
      <c r="A1417" s="10"/>
      <c r="B1417" s="22"/>
      <c r="C1417" s="10"/>
      <c r="D1417" s="10"/>
      <c r="E1417" s="23"/>
      <c r="F1417" s="26"/>
    </row>
    <row r="1418">
      <c r="A1418" s="10"/>
      <c r="B1418" s="22"/>
      <c r="C1418" s="10"/>
      <c r="D1418" s="10"/>
      <c r="E1418" s="23"/>
      <c r="F1418" s="26"/>
    </row>
    <row r="1419">
      <c r="A1419" s="10"/>
      <c r="B1419" s="22"/>
      <c r="C1419" s="10"/>
      <c r="D1419" s="10"/>
      <c r="E1419" s="23"/>
      <c r="F1419" s="26"/>
    </row>
    <row r="1420">
      <c r="A1420" s="10"/>
      <c r="B1420" s="22"/>
      <c r="C1420" s="10"/>
      <c r="D1420" s="10"/>
      <c r="E1420" s="23"/>
      <c r="F1420" s="26"/>
    </row>
    <row r="1421">
      <c r="A1421" s="10"/>
      <c r="B1421" s="22"/>
      <c r="C1421" s="10"/>
      <c r="D1421" s="10"/>
      <c r="E1421" s="23"/>
      <c r="F1421" s="26"/>
    </row>
    <row r="1422">
      <c r="A1422" s="10"/>
      <c r="B1422" s="22"/>
      <c r="C1422" s="10"/>
      <c r="D1422" s="10"/>
      <c r="E1422" s="23"/>
      <c r="F1422" s="26"/>
    </row>
    <row r="1423">
      <c r="A1423" s="10"/>
      <c r="B1423" s="22"/>
      <c r="C1423" s="10"/>
      <c r="D1423" s="10"/>
      <c r="E1423" s="23"/>
      <c r="F1423" s="26"/>
    </row>
    <row r="1424">
      <c r="A1424" s="10"/>
      <c r="B1424" s="22"/>
      <c r="C1424" s="10"/>
      <c r="D1424" s="10"/>
      <c r="E1424" s="23"/>
      <c r="F1424" s="26"/>
    </row>
    <row r="1425">
      <c r="A1425" s="10"/>
      <c r="B1425" s="22"/>
      <c r="C1425" s="10"/>
      <c r="D1425" s="10"/>
      <c r="E1425" s="23"/>
      <c r="F1425" s="26"/>
    </row>
    <row r="1426">
      <c r="A1426" s="10"/>
      <c r="B1426" s="22"/>
      <c r="C1426" s="10"/>
      <c r="D1426" s="10"/>
      <c r="E1426" s="23"/>
      <c r="F1426" s="26"/>
    </row>
    <row r="1427">
      <c r="A1427" s="10"/>
      <c r="B1427" s="22"/>
      <c r="C1427" s="10"/>
      <c r="D1427" s="10"/>
      <c r="E1427" s="23"/>
      <c r="F1427" s="26"/>
    </row>
    <row r="1428">
      <c r="A1428" s="10"/>
      <c r="B1428" s="22"/>
      <c r="C1428" s="10"/>
      <c r="D1428" s="10"/>
      <c r="E1428" s="23"/>
      <c r="F1428" s="26"/>
    </row>
    <row r="1429">
      <c r="A1429" s="10"/>
      <c r="B1429" s="22"/>
      <c r="C1429" s="10"/>
      <c r="D1429" s="10"/>
      <c r="E1429" s="23"/>
      <c r="F1429" s="26"/>
    </row>
    <row r="1430">
      <c r="A1430" s="10"/>
      <c r="B1430" s="22"/>
      <c r="C1430" s="10"/>
      <c r="D1430" s="10"/>
      <c r="E1430" s="23"/>
      <c r="F1430" s="26"/>
    </row>
    <row r="1431">
      <c r="A1431" s="10"/>
      <c r="B1431" s="22"/>
      <c r="C1431" s="10"/>
      <c r="D1431" s="10"/>
      <c r="E1431" s="23"/>
      <c r="F1431" s="26"/>
    </row>
    <row r="1432">
      <c r="A1432" s="10"/>
      <c r="B1432" s="22"/>
      <c r="C1432" s="10"/>
      <c r="D1432" s="10"/>
      <c r="E1432" s="23"/>
      <c r="F1432" s="26"/>
    </row>
    <row r="1433">
      <c r="A1433" s="10"/>
      <c r="B1433" s="22"/>
      <c r="C1433" s="10"/>
      <c r="D1433" s="10"/>
      <c r="E1433" s="23"/>
      <c r="F1433" s="26"/>
    </row>
    <row r="1434">
      <c r="A1434" s="10"/>
      <c r="B1434" s="22"/>
      <c r="C1434" s="10"/>
      <c r="D1434" s="10"/>
      <c r="E1434" s="23"/>
      <c r="F1434" s="26"/>
    </row>
    <row r="1435">
      <c r="A1435" s="10"/>
      <c r="B1435" s="22"/>
      <c r="C1435" s="10"/>
      <c r="D1435" s="10"/>
      <c r="E1435" s="23"/>
      <c r="F1435" s="26"/>
    </row>
    <row r="1436">
      <c r="A1436" s="10"/>
      <c r="B1436" s="22"/>
      <c r="C1436" s="10"/>
      <c r="D1436" s="10"/>
      <c r="E1436" s="23"/>
      <c r="F1436" s="26"/>
    </row>
    <row r="1437">
      <c r="A1437" s="10"/>
      <c r="B1437" s="22"/>
      <c r="C1437" s="10"/>
      <c r="D1437" s="10"/>
      <c r="E1437" s="23"/>
      <c r="F1437" s="26"/>
    </row>
    <row r="1438">
      <c r="A1438" s="10"/>
      <c r="B1438" s="22"/>
      <c r="C1438" s="10"/>
      <c r="D1438" s="10"/>
      <c r="E1438" s="23"/>
      <c r="F1438" s="26"/>
    </row>
    <row r="1439">
      <c r="A1439" s="10"/>
      <c r="B1439" s="22"/>
      <c r="C1439" s="10"/>
      <c r="D1439" s="10"/>
      <c r="E1439" s="23"/>
      <c r="F1439" s="26"/>
    </row>
    <row r="1440">
      <c r="A1440" s="10"/>
      <c r="B1440" s="22"/>
      <c r="C1440" s="10"/>
      <c r="D1440" s="10"/>
      <c r="E1440" s="23"/>
      <c r="F1440" s="26"/>
    </row>
    <row r="1441">
      <c r="A1441" s="10"/>
      <c r="B1441" s="22"/>
      <c r="C1441" s="10"/>
      <c r="D1441" s="10"/>
      <c r="E1441" s="23"/>
      <c r="F1441" s="26"/>
    </row>
    <row r="1442">
      <c r="A1442" s="10"/>
      <c r="B1442" s="22"/>
      <c r="C1442" s="10"/>
      <c r="D1442" s="10"/>
      <c r="E1442" s="23"/>
      <c r="F1442" s="26"/>
    </row>
    <row r="1443">
      <c r="A1443" s="10"/>
      <c r="B1443" s="22"/>
      <c r="C1443" s="10"/>
      <c r="D1443" s="10"/>
      <c r="E1443" s="23"/>
      <c r="F1443" s="26"/>
    </row>
    <row r="1444">
      <c r="A1444" s="10"/>
      <c r="B1444" s="22"/>
      <c r="C1444" s="10"/>
      <c r="D1444" s="10"/>
      <c r="E1444" s="23"/>
      <c r="F1444" s="26"/>
    </row>
    <row r="1445">
      <c r="A1445" s="10"/>
      <c r="B1445" s="22"/>
      <c r="C1445" s="10"/>
      <c r="D1445" s="10"/>
      <c r="E1445" s="23"/>
      <c r="F1445" s="26"/>
    </row>
    <row r="1446">
      <c r="A1446" s="10"/>
      <c r="B1446" s="22"/>
      <c r="C1446" s="10"/>
      <c r="D1446" s="10"/>
      <c r="E1446" s="23"/>
      <c r="F1446" s="26"/>
    </row>
    <row r="1447">
      <c r="A1447" s="10"/>
      <c r="B1447" s="22"/>
      <c r="C1447" s="10"/>
      <c r="D1447" s="10"/>
      <c r="E1447" s="23"/>
      <c r="F1447" s="26"/>
    </row>
    <row r="1448">
      <c r="A1448" s="10"/>
      <c r="B1448" s="22"/>
      <c r="C1448" s="10"/>
      <c r="D1448" s="10"/>
      <c r="E1448" s="23"/>
      <c r="F1448" s="26"/>
    </row>
    <row r="1449">
      <c r="A1449" s="10"/>
      <c r="B1449" s="22"/>
      <c r="C1449" s="10"/>
      <c r="D1449" s="10"/>
      <c r="E1449" s="23"/>
      <c r="F1449" s="26"/>
    </row>
    <row r="1450">
      <c r="A1450" s="10"/>
      <c r="B1450" s="22"/>
      <c r="C1450" s="10"/>
      <c r="D1450" s="10"/>
      <c r="E1450" s="23"/>
      <c r="F1450" s="26"/>
    </row>
    <row r="1451">
      <c r="A1451" s="10"/>
      <c r="B1451" s="22"/>
      <c r="C1451" s="10"/>
      <c r="D1451" s="10"/>
      <c r="E1451" s="23"/>
      <c r="F1451" s="26"/>
    </row>
    <row r="1452">
      <c r="A1452" s="10"/>
      <c r="B1452" s="22"/>
      <c r="C1452" s="10"/>
      <c r="D1452" s="10"/>
      <c r="E1452" s="23"/>
      <c r="F1452" s="26"/>
    </row>
    <row r="1453">
      <c r="A1453" s="10"/>
      <c r="B1453" s="22"/>
      <c r="C1453" s="10"/>
      <c r="D1453" s="10"/>
      <c r="E1453" s="23"/>
      <c r="F1453" s="26"/>
    </row>
    <row r="1454">
      <c r="A1454" s="10"/>
      <c r="B1454" s="22"/>
      <c r="C1454" s="10"/>
      <c r="D1454" s="10"/>
      <c r="E1454" s="23"/>
      <c r="F1454" s="26"/>
    </row>
    <row r="1455">
      <c r="A1455" s="10"/>
      <c r="B1455" s="22"/>
      <c r="C1455" s="10"/>
      <c r="D1455" s="10"/>
      <c r="E1455" s="23"/>
      <c r="F1455" s="26"/>
    </row>
    <row r="1456">
      <c r="A1456" s="10"/>
      <c r="B1456" s="22"/>
      <c r="C1456" s="10"/>
      <c r="D1456" s="10"/>
      <c r="E1456" s="23"/>
      <c r="F1456" s="26"/>
    </row>
    <row r="1457">
      <c r="A1457" s="10"/>
      <c r="B1457" s="22"/>
      <c r="C1457" s="10"/>
      <c r="D1457" s="10"/>
      <c r="E1457" s="23"/>
      <c r="F1457" s="26"/>
    </row>
    <row r="1458">
      <c r="A1458" s="10"/>
      <c r="B1458" s="22"/>
      <c r="C1458" s="10"/>
      <c r="D1458" s="10"/>
      <c r="E1458" s="23"/>
      <c r="F1458" s="26"/>
    </row>
    <row r="1459">
      <c r="A1459" s="10"/>
      <c r="B1459" s="22"/>
      <c r="C1459" s="10"/>
      <c r="D1459" s="10"/>
      <c r="E1459" s="23"/>
      <c r="F1459" s="26"/>
    </row>
    <row r="1460">
      <c r="A1460" s="10"/>
      <c r="B1460" s="22"/>
      <c r="C1460" s="10"/>
      <c r="D1460" s="10"/>
      <c r="E1460" s="23"/>
      <c r="F1460" s="26"/>
    </row>
    <row r="1461">
      <c r="A1461" s="10"/>
      <c r="B1461" s="22"/>
      <c r="C1461" s="10"/>
      <c r="D1461" s="10"/>
      <c r="E1461" s="23"/>
      <c r="F1461" s="26"/>
    </row>
    <row r="1462">
      <c r="A1462" s="10"/>
      <c r="B1462" s="22"/>
      <c r="C1462" s="10"/>
      <c r="D1462" s="10"/>
      <c r="E1462" s="23"/>
      <c r="F1462" s="26"/>
    </row>
    <row r="1463">
      <c r="A1463" s="10"/>
      <c r="B1463" s="22"/>
      <c r="C1463" s="10"/>
      <c r="D1463" s="10"/>
      <c r="E1463" s="23"/>
      <c r="F1463" s="26"/>
    </row>
    <row r="1464">
      <c r="A1464" s="10"/>
      <c r="B1464" s="22"/>
      <c r="C1464" s="10"/>
      <c r="D1464" s="10"/>
      <c r="E1464" s="23"/>
      <c r="F1464" s="26"/>
    </row>
    <row r="1465">
      <c r="A1465" s="10"/>
      <c r="B1465" s="22"/>
      <c r="C1465" s="10"/>
      <c r="D1465" s="10"/>
      <c r="E1465" s="23"/>
      <c r="F1465" s="26"/>
    </row>
    <row r="1466">
      <c r="A1466" s="10"/>
      <c r="B1466" s="22"/>
      <c r="C1466" s="10"/>
      <c r="D1466" s="10"/>
      <c r="E1466" s="23"/>
      <c r="F1466" s="26"/>
    </row>
    <row r="1467">
      <c r="A1467" s="10"/>
      <c r="B1467" s="22"/>
      <c r="C1467" s="10"/>
      <c r="D1467" s="10"/>
      <c r="E1467" s="23"/>
      <c r="F1467" s="26"/>
    </row>
    <row r="1468">
      <c r="A1468" s="10"/>
      <c r="B1468" s="22"/>
      <c r="C1468" s="10"/>
      <c r="D1468" s="10"/>
      <c r="E1468" s="23"/>
      <c r="F1468" s="26"/>
    </row>
    <row r="1469">
      <c r="A1469" s="10"/>
      <c r="B1469" s="22"/>
      <c r="C1469" s="10"/>
      <c r="D1469" s="10"/>
      <c r="E1469" s="23"/>
      <c r="F1469" s="26"/>
    </row>
    <row r="1470">
      <c r="A1470" s="10"/>
      <c r="B1470" s="22"/>
      <c r="C1470" s="10"/>
      <c r="D1470" s="10"/>
      <c r="E1470" s="23"/>
      <c r="F1470" s="26"/>
    </row>
    <row r="1471">
      <c r="A1471" s="10"/>
      <c r="B1471" s="22"/>
      <c r="C1471" s="10"/>
      <c r="D1471" s="10"/>
      <c r="E1471" s="23"/>
      <c r="F1471" s="26"/>
    </row>
    <row r="1472">
      <c r="A1472" s="10"/>
      <c r="B1472" s="22"/>
      <c r="C1472" s="10"/>
      <c r="D1472" s="10"/>
      <c r="E1472" s="23"/>
      <c r="F1472" s="26"/>
    </row>
    <row r="1473">
      <c r="A1473" s="10"/>
      <c r="B1473" s="22"/>
      <c r="C1473" s="10"/>
      <c r="D1473" s="10"/>
      <c r="E1473" s="23"/>
      <c r="F1473" s="26"/>
    </row>
    <row r="1474">
      <c r="A1474" s="10"/>
      <c r="B1474" s="22"/>
      <c r="C1474" s="10"/>
      <c r="D1474" s="10"/>
      <c r="E1474" s="23"/>
      <c r="F1474" s="26"/>
    </row>
    <row r="1475">
      <c r="A1475" s="10"/>
      <c r="B1475" s="22"/>
      <c r="C1475" s="10"/>
      <c r="D1475" s="10"/>
      <c r="E1475" s="23"/>
      <c r="F1475" s="26"/>
    </row>
    <row r="1476">
      <c r="A1476" s="10"/>
      <c r="B1476" s="22"/>
      <c r="C1476" s="10"/>
      <c r="D1476" s="10"/>
      <c r="E1476" s="23"/>
      <c r="F1476" s="26"/>
    </row>
    <row r="1477">
      <c r="A1477" s="10"/>
      <c r="B1477" s="22"/>
      <c r="C1477" s="10"/>
      <c r="D1477" s="10"/>
      <c r="E1477" s="23"/>
      <c r="F1477" s="26"/>
    </row>
    <row r="1478">
      <c r="A1478" s="10"/>
      <c r="B1478" s="22"/>
      <c r="C1478" s="10"/>
      <c r="D1478" s="10"/>
      <c r="E1478" s="23"/>
      <c r="F1478" s="26"/>
    </row>
    <row r="1479">
      <c r="A1479" s="10"/>
      <c r="B1479" s="22"/>
      <c r="C1479" s="10"/>
      <c r="D1479" s="10"/>
      <c r="E1479" s="23"/>
      <c r="F1479" s="26"/>
    </row>
    <row r="1480">
      <c r="A1480" s="10"/>
      <c r="B1480" s="22"/>
      <c r="C1480" s="10"/>
      <c r="D1480" s="10"/>
      <c r="E1480" s="23"/>
      <c r="F1480" s="26"/>
    </row>
    <row r="1481">
      <c r="A1481" s="10"/>
      <c r="B1481" s="22"/>
      <c r="C1481" s="10"/>
      <c r="D1481" s="10"/>
      <c r="E1481" s="23"/>
      <c r="F1481" s="26"/>
    </row>
    <row r="1482">
      <c r="A1482" s="10"/>
      <c r="B1482" s="22"/>
      <c r="C1482" s="10"/>
      <c r="D1482" s="10"/>
      <c r="E1482" s="23"/>
      <c r="F1482" s="26"/>
    </row>
    <row r="1483">
      <c r="A1483" s="10"/>
      <c r="B1483" s="22"/>
      <c r="C1483" s="10"/>
      <c r="D1483" s="10"/>
      <c r="E1483" s="23"/>
      <c r="F1483" s="26"/>
    </row>
    <row r="1484">
      <c r="A1484" s="10"/>
      <c r="B1484" s="22"/>
      <c r="C1484" s="10"/>
      <c r="D1484" s="10"/>
      <c r="E1484" s="23"/>
      <c r="F1484" s="26"/>
    </row>
    <row r="1485">
      <c r="A1485" s="10"/>
      <c r="B1485" s="22"/>
      <c r="C1485" s="10"/>
      <c r="D1485" s="10"/>
      <c r="E1485" s="23"/>
      <c r="F1485" s="26"/>
    </row>
    <row r="1486">
      <c r="A1486" s="10"/>
      <c r="B1486" s="22"/>
      <c r="C1486" s="10"/>
      <c r="D1486" s="10"/>
      <c r="E1486" s="23"/>
      <c r="F1486" s="26"/>
    </row>
    <row r="1487">
      <c r="A1487" s="10"/>
      <c r="B1487" s="22"/>
      <c r="C1487" s="10"/>
      <c r="D1487" s="10"/>
      <c r="E1487" s="23"/>
      <c r="F1487" s="26"/>
    </row>
    <row r="1488">
      <c r="A1488" s="10"/>
      <c r="B1488" s="22"/>
      <c r="C1488" s="10"/>
      <c r="D1488" s="10"/>
      <c r="E1488" s="23"/>
      <c r="F1488" s="26"/>
    </row>
    <row r="1489">
      <c r="A1489" s="10"/>
      <c r="B1489" s="22"/>
      <c r="C1489" s="10"/>
      <c r="D1489" s="10"/>
      <c r="E1489" s="23"/>
      <c r="F1489" s="26"/>
    </row>
    <row r="1490">
      <c r="A1490" s="10"/>
      <c r="B1490" s="22"/>
      <c r="C1490" s="10"/>
      <c r="D1490" s="10"/>
      <c r="E1490" s="23"/>
      <c r="F1490" s="26"/>
    </row>
    <row r="1491">
      <c r="A1491" s="10"/>
      <c r="B1491" s="22"/>
      <c r="C1491" s="10"/>
      <c r="D1491" s="10"/>
      <c r="E1491" s="23"/>
      <c r="F1491" s="26"/>
    </row>
    <row r="1492">
      <c r="A1492" s="10"/>
      <c r="B1492" s="22"/>
      <c r="C1492" s="10"/>
      <c r="D1492" s="10"/>
      <c r="E1492" s="23"/>
      <c r="F1492" s="26"/>
    </row>
    <row r="1493">
      <c r="A1493" s="10"/>
      <c r="B1493" s="22"/>
      <c r="C1493" s="10"/>
      <c r="D1493" s="10"/>
      <c r="E1493" s="23"/>
      <c r="F1493" s="26"/>
    </row>
    <row r="1494">
      <c r="A1494" s="10"/>
      <c r="B1494" s="22"/>
      <c r="C1494" s="10"/>
      <c r="D1494" s="10"/>
      <c r="E1494" s="23"/>
      <c r="F1494" s="26"/>
    </row>
    <row r="1495">
      <c r="A1495" s="10"/>
      <c r="B1495" s="22"/>
      <c r="C1495" s="10"/>
      <c r="D1495" s="10"/>
      <c r="E1495" s="23"/>
      <c r="F1495" s="26"/>
    </row>
    <row r="1496">
      <c r="A1496" s="10"/>
      <c r="B1496" s="22"/>
      <c r="C1496" s="10"/>
      <c r="D1496" s="10"/>
      <c r="E1496" s="23"/>
      <c r="F1496" s="26"/>
    </row>
    <row r="1497">
      <c r="A1497" s="10"/>
      <c r="B1497" s="22"/>
      <c r="C1497" s="10"/>
      <c r="D1497" s="10"/>
      <c r="E1497" s="23"/>
      <c r="F1497" s="26"/>
    </row>
    <row r="1498">
      <c r="A1498" s="10"/>
      <c r="B1498" s="22"/>
      <c r="C1498" s="10"/>
      <c r="D1498" s="10"/>
      <c r="E1498" s="23"/>
      <c r="F1498" s="26"/>
    </row>
    <row r="1499">
      <c r="A1499" s="10"/>
      <c r="B1499" s="22"/>
      <c r="C1499" s="10"/>
      <c r="D1499" s="10"/>
      <c r="E1499" s="23"/>
      <c r="F1499" s="26"/>
    </row>
    <row r="1500">
      <c r="A1500" s="10"/>
      <c r="B1500" s="22"/>
      <c r="C1500" s="10"/>
      <c r="D1500" s="10"/>
      <c r="E1500" s="23"/>
      <c r="F1500" s="26"/>
    </row>
    <row r="1501">
      <c r="A1501" s="10"/>
      <c r="B1501" s="22"/>
      <c r="C1501" s="10"/>
      <c r="D1501" s="10"/>
      <c r="E1501" s="23"/>
      <c r="F1501" s="26"/>
    </row>
    <row r="1502">
      <c r="A1502" s="10"/>
      <c r="B1502" s="22"/>
      <c r="C1502" s="10"/>
      <c r="D1502" s="10"/>
      <c r="E1502" s="23"/>
      <c r="F1502" s="26"/>
    </row>
    <row r="1503">
      <c r="A1503" s="10"/>
      <c r="B1503" s="22"/>
      <c r="C1503" s="10"/>
      <c r="D1503" s="10"/>
      <c r="E1503" s="23"/>
      <c r="F1503" s="26"/>
    </row>
    <row r="1504">
      <c r="A1504" s="10"/>
      <c r="B1504" s="22"/>
      <c r="C1504" s="10"/>
      <c r="D1504" s="10"/>
      <c r="E1504" s="23"/>
      <c r="F1504" s="26"/>
    </row>
    <row r="1505">
      <c r="A1505" s="10"/>
      <c r="B1505" s="22"/>
      <c r="C1505" s="10"/>
      <c r="D1505" s="10"/>
      <c r="E1505" s="23"/>
      <c r="F1505" s="26"/>
    </row>
    <row r="1506">
      <c r="A1506" s="10"/>
      <c r="B1506" s="22"/>
      <c r="C1506" s="10"/>
      <c r="D1506" s="10"/>
      <c r="E1506" s="23"/>
      <c r="F1506" s="26"/>
    </row>
    <row r="1507">
      <c r="A1507" s="10"/>
      <c r="B1507" s="22"/>
      <c r="C1507" s="10"/>
      <c r="D1507" s="10"/>
      <c r="E1507" s="23"/>
      <c r="F1507" s="26"/>
    </row>
    <row r="1508">
      <c r="A1508" s="10"/>
      <c r="B1508" s="22"/>
      <c r="C1508" s="10"/>
      <c r="D1508" s="10"/>
      <c r="E1508" s="23"/>
      <c r="F1508" s="26"/>
    </row>
    <row r="1509">
      <c r="A1509" s="10"/>
      <c r="B1509" s="22"/>
      <c r="C1509" s="10"/>
      <c r="D1509" s="10"/>
      <c r="E1509" s="23"/>
      <c r="F1509" s="26"/>
    </row>
    <row r="1510">
      <c r="A1510" s="10"/>
      <c r="B1510" s="22"/>
      <c r="C1510" s="10"/>
      <c r="D1510" s="10"/>
      <c r="E1510" s="23"/>
      <c r="F1510" s="26"/>
    </row>
    <row r="1511">
      <c r="A1511" s="10"/>
      <c r="B1511" s="22"/>
      <c r="C1511" s="10"/>
      <c r="D1511" s="10"/>
      <c r="E1511" s="23"/>
      <c r="F1511" s="26"/>
    </row>
    <row r="1512">
      <c r="A1512" s="10"/>
      <c r="B1512" s="22"/>
      <c r="C1512" s="10"/>
      <c r="D1512" s="10"/>
      <c r="E1512" s="23"/>
      <c r="F1512" s="26"/>
    </row>
    <row r="1513">
      <c r="A1513" s="10"/>
      <c r="B1513" s="22"/>
      <c r="C1513" s="10"/>
      <c r="D1513" s="10"/>
      <c r="E1513" s="23"/>
      <c r="F1513" s="26"/>
    </row>
    <row r="1514">
      <c r="A1514" s="10"/>
      <c r="B1514" s="22"/>
      <c r="C1514" s="10"/>
      <c r="D1514" s="10"/>
      <c r="E1514" s="23"/>
      <c r="F1514" s="26"/>
    </row>
    <row r="1515">
      <c r="A1515" s="10"/>
      <c r="B1515" s="22"/>
      <c r="C1515" s="10"/>
      <c r="D1515" s="10"/>
      <c r="E1515" s="23"/>
      <c r="F1515" s="26"/>
    </row>
    <row r="1516">
      <c r="A1516" s="10"/>
      <c r="B1516" s="22"/>
      <c r="C1516" s="10"/>
      <c r="D1516" s="10"/>
      <c r="E1516" s="23"/>
      <c r="F1516" s="26"/>
    </row>
    <row r="1517">
      <c r="A1517" s="10"/>
      <c r="B1517" s="22"/>
      <c r="C1517" s="10"/>
      <c r="D1517" s="10"/>
      <c r="E1517" s="23"/>
      <c r="F1517" s="26"/>
    </row>
    <row r="1518">
      <c r="A1518" s="10"/>
      <c r="B1518" s="22"/>
      <c r="C1518" s="10"/>
      <c r="D1518" s="10"/>
      <c r="E1518" s="23"/>
      <c r="F1518" s="26"/>
    </row>
    <row r="1519">
      <c r="A1519" s="10"/>
      <c r="B1519" s="22"/>
      <c r="C1519" s="10"/>
      <c r="D1519" s="10"/>
      <c r="E1519" s="23"/>
      <c r="F1519" s="26"/>
    </row>
    <row r="1520">
      <c r="A1520" s="10"/>
      <c r="B1520" s="22"/>
      <c r="C1520" s="10"/>
      <c r="D1520" s="10"/>
      <c r="E1520" s="23"/>
      <c r="F1520" s="26"/>
    </row>
    <row r="1521">
      <c r="A1521" s="10"/>
      <c r="B1521" s="22"/>
      <c r="C1521" s="10"/>
      <c r="D1521" s="10"/>
      <c r="E1521" s="23"/>
      <c r="F1521" s="26"/>
    </row>
    <row r="1522">
      <c r="A1522" s="10"/>
      <c r="B1522" s="22"/>
      <c r="C1522" s="10"/>
      <c r="D1522" s="10"/>
      <c r="E1522" s="23"/>
      <c r="F1522" s="26"/>
    </row>
    <row r="1523">
      <c r="A1523" s="10"/>
      <c r="B1523" s="22"/>
      <c r="C1523" s="10"/>
      <c r="D1523" s="10"/>
      <c r="E1523" s="23"/>
      <c r="F1523" s="26"/>
    </row>
    <row r="1524">
      <c r="A1524" s="10"/>
      <c r="B1524" s="22"/>
      <c r="C1524" s="10"/>
      <c r="D1524" s="10"/>
      <c r="E1524" s="23"/>
      <c r="F1524" s="26"/>
    </row>
    <row r="1525">
      <c r="A1525" s="10"/>
      <c r="B1525" s="22"/>
      <c r="C1525" s="10"/>
      <c r="D1525" s="10"/>
      <c r="E1525" s="23"/>
      <c r="F1525" s="26"/>
    </row>
    <row r="1526">
      <c r="A1526" s="10"/>
      <c r="B1526" s="22"/>
      <c r="C1526" s="10"/>
      <c r="D1526" s="10"/>
      <c r="E1526" s="23"/>
      <c r="F1526" s="26"/>
    </row>
    <row r="1527">
      <c r="A1527" s="10"/>
      <c r="B1527" s="22"/>
      <c r="C1527" s="10"/>
      <c r="D1527" s="10"/>
      <c r="E1527" s="23"/>
      <c r="F1527" s="26"/>
    </row>
    <row r="1528">
      <c r="A1528" s="10"/>
      <c r="B1528" s="22"/>
      <c r="C1528" s="10"/>
      <c r="D1528" s="10"/>
      <c r="E1528" s="23"/>
      <c r="F1528" s="26"/>
    </row>
    <row r="1529">
      <c r="A1529" s="10"/>
      <c r="B1529" s="22"/>
      <c r="C1529" s="10"/>
      <c r="D1529" s="10"/>
      <c r="E1529" s="23"/>
      <c r="F1529" s="26"/>
    </row>
    <row r="1530">
      <c r="A1530" s="10"/>
      <c r="B1530" s="22"/>
      <c r="C1530" s="10"/>
      <c r="D1530" s="10"/>
      <c r="E1530" s="23"/>
      <c r="F1530" s="26"/>
    </row>
    <row r="1531">
      <c r="A1531" s="10"/>
      <c r="B1531" s="22"/>
      <c r="C1531" s="10"/>
      <c r="D1531" s="10"/>
      <c r="E1531" s="23"/>
      <c r="F1531" s="26"/>
    </row>
    <row r="1532">
      <c r="A1532" s="10"/>
      <c r="B1532" s="22"/>
      <c r="C1532" s="10"/>
      <c r="D1532" s="10"/>
      <c r="E1532" s="23"/>
      <c r="F1532" s="26"/>
    </row>
    <row r="1533">
      <c r="A1533" s="10"/>
      <c r="B1533" s="22"/>
      <c r="C1533" s="10"/>
      <c r="D1533" s="10"/>
      <c r="E1533" s="23"/>
      <c r="F1533" s="26"/>
    </row>
    <row r="1534">
      <c r="A1534" s="10"/>
      <c r="B1534" s="22"/>
      <c r="C1534" s="10"/>
      <c r="D1534" s="10"/>
      <c r="E1534" s="23"/>
      <c r="F1534" s="26"/>
    </row>
    <row r="1535">
      <c r="A1535" s="10"/>
      <c r="B1535" s="22"/>
      <c r="C1535" s="10"/>
      <c r="D1535" s="10"/>
      <c r="E1535" s="23"/>
      <c r="F1535" s="26"/>
    </row>
    <row r="1536">
      <c r="A1536" s="10"/>
      <c r="B1536" s="22"/>
      <c r="C1536" s="10"/>
      <c r="D1536" s="10"/>
      <c r="E1536" s="23"/>
      <c r="F1536" s="26"/>
    </row>
    <row r="1537">
      <c r="A1537" s="10"/>
      <c r="B1537" s="22"/>
      <c r="C1537" s="10"/>
      <c r="D1537" s="10"/>
      <c r="E1537" s="23"/>
      <c r="F1537" s="26"/>
    </row>
    <row r="1538">
      <c r="A1538" s="10"/>
      <c r="B1538" s="22"/>
      <c r="C1538" s="10"/>
      <c r="D1538" s="10"/>
      <c r="E1538" s="23"/>
      <c r="F1538" s="26"/>
    </row>
    <row r="1539">
      <c r="A1539" s="10"/>
      <c r="B1539" s="22"/>
      <c r="C1539" s="10"/>
      <c r="D1539" s="10"/>
      <c r="E1539" s="23"/>
      <c r="F1539" s="26"/>
    </row>
    <row r="1540">
      <c r="A1540" s="10"/>
      <c r="B1540" s="22"/>
      <c r="C1540" s="10"/>
      <c r="D1540" s="10"/>
      <c r="E1540" s="23"/>
      <c r="F1540" s="26"/>
    </row>
    <row r="1541">
      <c r="A1541" s="10"/>
      <c r="B1541" s="22"/>
      <c r="C1541" s="10"/>
      <c r="D1541" s="10"/>
      <c r="E1541" s="23"/>
      <c r="F1541" s="26"/>
    </row>
    <row r="1542">
      <c r="A1542" s="10"/>
      <c r="B1542" s="22"/>
      <c r="C1542" s="10"/>
      <c r="D1542" s="10"/>
      <c r="E1542" s="23"/>
      <c r="F1542" s="26"/>
    </row>
    <row r="1543">
      <c r="A1543" s="10"/>
      <c r="B1543" s="22"/>
      <c r="C1543" s="10"/>
      <c r="D1543" s="10"/>
      <c r="E1543" s="23"/>
      <c r="F1543" s="26"/>
    </row>
    <row r="1544">
      <c r="A1544" s="10"/>
      <c r="B1544" s="22"/>
      <c r="C1544" s="10"/>
      <c r="D1544" s="10"/>
      <c r="E1544" s="23"/>
      <c r="F1544" s="26"/>
    </row>
    <row r="1545">
      <c r="A1545" s="10"/>
      <c r="B1545" s="22"/>
      <c r="C1545" s="10"/>
      <c r="D1545" s="10"/>
      <c r="E1545" s="23"/>
      <c r="F1545" s="26"/>
    </row>
    <row r="1546">
      <c r="A1546" s="10"/>
      <c r="B1546" s="22"/>
      <c r="C1546" s="10"/>
      <c r="D1546" s="10"/>
      <c r="E1546" s="23"/>
      <c r="F1546" s="26"/>
    </row>
    <row r="1547">
      <c r="A1547" s="10"/>
      <c r="B1547" s="22"/>
      <c r="C1547" s="10"/>
      <c r="D1547" s="10"/>
      <c r="E1547" s="23"/>
      <c r="F1547" s="26"/>
    </row>
    <row r="1548">
      <c r="A1548" s="10"/>
      <c r="B1548" s="22"/>
      <c r="C1548" s="10"/>
      <c r="D1548" s="10"/>
      <c r="E1548" s="23"/>
      <c r="F1548" s="26"/>
    </row>
    <row r="1549">
      <c r="A1549" s="10"/>
      <c r="B1549" s="22"/>
      <c r="C1549" s="10"/>
      <c r="D1549" s="10"/>
      <c r="E1549" s="23"/>
      <c r="F1549" s="26"/>
    </row>
    <row r="1550">
      <c r="A1550" s="10"/>
      <c r="B1550" s="22"/>
      <c r="C1550" s="10"/>
      <c r="D1550" s="10"/>
      <c r="E1550" s="23"/>
      <c r="F1550" s="26"/>
    </row>
    <row r="1551">
      <c r="A1551" s="10"/>
      <c r="B1551" s="22"/>
      <c r="C1551" s="10"/>
      <c r="D1551" s="10"/>
      <c r="E1551" s="23"/>
      <c r="F1551" s="26"/>
    </row>
    <row r="1552">
      <c r="A1552" s="10"/>
      <c r="B1552" s="22"/>
      <c r="C1552" s="10"/>
      <c r="D1552" s="10"/>
      <c r="E1552" s="23"/>
      <c r="F1552" s="26"/>
    </row>
    <row r="1553">
      <c r="A1553" s="10"/>
      <c r="B1553" s="22"/>
      <c r="C1553" s="10"/>
      <c r="D1553" s="10"/>
      <c r="E1553" s="23"/>
      <c r="F1553" s="26"/>
    </row>
    <row r="1554">
      <c r="A1554" s="10"/>
      <c r="B1554" s="22"/>
      <c r="C1554" s="10"/>
      <c r="D1554" s="10"/>
      <c r="E1554" s="23"/>
      <c r="F1554" s="26"/>
    </row>
    <row r="1555">
      <c r="A1555" s="10"/>
      <c r="B1555" s="22"/>
      <c r="C1555" s="10"/>
      <c r="D1555" s="10"/>
      <c r="E1555" s="23"/>
      <c r="F1555" s="26"/>
    </row>
    <row r="1556">
      <c r="A1556" s="10"/>
      <c r="B1556" s="22"/>
      <c r="C1556" s="10"/>
      <c r="D1556" s="10"/>
      <c r="E1556" s="23"/>
      <c r="F1556" s="26"/>
    </row>
    <row r="1557">
      <c r="A1557" s="10"/>
      <c r="B1557" s="22"/>
      <c r="C1557" s="10"/>
      <c r="D1557" s="10"/>
      <c r="E1557" s="23"/>
      <c r="F1557" s="26"/>
    </row>
    <row r="1558">
      <c r="A1558" s="10"/>
      <c r="B1558" s="22"/>
      <c r="C1558" s="10"/>
      <c r="D1558" s="10"/>
      <c r="E1558" s="23"/>
      <c r="F1558" s="26"/>
    </row>
    <row r="1559">
      <c r="A1559" s="10"/>
      <c r="B1559" s="22"/>
      <c r="C1559" s="10"/>
      <c r="D1559" s="10"/>
      <c r="E1559" s="23"/>
      <c r="F1559" s="26"/>
    </row>
    <row r="1560">
      <c r="A1560" s="10"/>
      <c r="B1560" s="22"/>
      <c r="C1560" s="10"/>
      <c r="D1560" s="10"/>
      <c r="E1560" s="23"/>
      <c r="F1560" s="26"/>
    </row>
    <row r="1561">
      <c r="A1561" s="10"/>
      <c r="B1561" s="22"/>
      <c r="C1561" s="10"/>
      <c r="D1561" s="10"/>
      <c r="E1561" s="23"/>
      <c r="F1561" s="26"/>
    </row>
    <row r="1562">
      <c r="A1562" s="10"/>
      <c r="B1562" s="22"/>
      <c r="C1562" s="10"/>
      <c r="D1562" s="10"/>
      <c r="E1562" s="23"/>
      <c r="F1562" s="26"/>
    </row>
    <row r="1563">
      <c r="A1563" s="10"/>
      <c r="B1563" s="22"/>
      <c r="C1563" s="10"/>
      <c r="D1563" s="10"/>
      <c r="E1563" s="23"/>
      <c r="F1563" s="26"/>
    </row>
    <row r="1564">
      <c r="A1564" s="10"/>
      <c r="B1564" s="22"/>
      <c r="C1564" s="10"/>
      <c r="D1564" s="10"/>
      <c r="E1564" s="23"/>
      <c r="F1564" s="26"/>
    </row>
    <row r="1565">
      <c r="A1565" s="10"/>
      <c r="B1565" s="22"/>
      <c r="C1565" s="10"/>
      <c r="D1565" s="10"/>
      <c r="E1565" s="23"/>
      <c r="F1565" s="26"/>
    </row>
    <row r="1566">
      <c r="A1566" s="10"/>
      <c r="B1566" s="22"/>
      <c r="C1566" s="10"/>
      <c r="D1566" s="10"/>
      <c r="E1566" s="23"/>
      <c r="F1566" s="26"/>
    </row>
    <row r="1567">
      <c r="A1567" s="10"/>
      <c r="B1567" s="22"/>
      <c r="C1567" s="10"/>
      <c r="D1567" s="10"/>
      <c r="E1567" s="23"/>
      <c r="F1567" s="26"/>
    </row>
    <row r="1568">
      <c r="A1568" s="10"/>
      <c r="B1568" s="22"/>
      <c r="C1568" s="10"/>
      <c r="D1568" s="10"/>
      <c r="E1568" s="23"/>
      <c r="F1568" s="26"/>
    </row>
    <row r="1569">
      <c r="A1569" s="10"/>
      <c r="B1569" s="22"/>
      <c r="C1569" s="10"/>
      <c r="D1569" s="10"/>
      <c r="E1569" s="23"/>
      <c r="F1569" s="26"/>
    </row>
    <row r="1570">
      <c r="A1570" s="10"/>
      <c r="B1570" s="22"/>
      <c r="C1570" s="10"/>
      <c r="D1570" s="10"/>
      <c r="E1570" s="23"/>
      <c r="F1570" s="26"/>
    </row>
    <row r="1571">
      <c r="A1571" s="10"/>
      <c r="B1571" s="22"/>
      <c r="C1571" s="10"/>
      <c r="D1571" s="10"/>
      <c r="E1571" s="23"/>
      <c r="F1571" s="26"/>
    </row>
    <row r="1572">
      <c r="A1572" s="10"/>
      <c r="B1572" s="22"/>
      <c r="C1572" s="10"/>
      <c r="D1572" s="10"/>
      <c r="E1572" s="23"/>
      <c r="F1572" s="26"/>
    </row>
    <row r="1573">
      <c r="A1573" s="10"/>
      <c r="B1573" s="22"/>
      <c r="C1573" s="10"/>
      <c r="D1573" s="10"/>
      <c r="E1573" s="23"/>
      <c r="F1573" s="26"/>
    </row>
    <row r="1574">
      <c r="A1574" s="10"/>
      <c r="B1574" s="22"/>
      <c r="C1574" s="10"/>
      <c r="D1574" s="10"/>
      <c r="E1574" s="23"/>
      <c r="F1574" s="26"/>
    </row>
    <row r="1575">
      <c r="A1575" s="10"/>
      <c r="B1575" s="22"/>
      <c r="C1575" s="10"/>
      <c r="D1575" s="10"/>
      <c r="E1575" s="23"/>
      <c r="F1575" s="26"/>
    </row>
    <row r="1576">
      <c r="A1576" s="10"/>
      <c r="B1576" s="22"/>
      <c r="C1576" s="10"/>
      <c r="D1576" s="10"/>
      <c r="E1576" s="23"/>
      <c r="F1576" s="26"/>
    </row>
    <row r="1577">
      <c r="A1577" s="10"/>
      <c r="B1577" s="22"/>
      <c r="C1577" s="10"/>
      <c r="D1577" s="10"/>
      <c r="E1577" s="23"/>
      <c r="F1577" s="26"/>
    </row>
    <row r="1578">
      <c r="A1578" s="10"/>
      <c r="B1578" s="22"/>
      <c r="C1578" s="10"/>
      <c r="D1578" s="10"/>
      <c r="E1578" s="23"/>
      <c r="F1578" s="26"/>
    </row>
    <row r="1579">
      <c r="A1579" s="10"/>
      <c r="B1579" s="22"/>
      <c r="C1579" s="10"/>
      <c r="D1579" s="10"/>
      <c r="E1579" s="23"/>
      <c r="F1579" s="26"/>
    </row>
    <row r="1580">
      <c r="A1580" s="10"/>
      <c r="B1580" s="22"/>
      <c r="C1580" s="10"/>
      <c r="D1580" s="10"/>
      <c r="E1580" s="23"/>
      <c r="F1580" s="26"/>
    </row>
    <row r="1581">
      <c r="A1581" s="10"/>
      <c r="B1581" s="22"/>
      <c r="C1581" s="10"/>
      <c r="D1581" s="10"/>
      <c r="E1581" s="23"/>
      <c r="F1581" s="26"/>
    </row>
    <row r="1582">
      <c r="A1582" s="10"/>
      <c r="B1582" s="22"/>
      <c r="C1582" s="10"/>
      <c r="D1582" s="10"/>
      <c r="E1582" s="23"/>
      <c r="F1582" s="26"/>
    </row>
    <row r="1583">
      <c r="A1583" s="10"/>
      <c r="B1583" s="22"/>
      <c r="C1583" s="10"/>
      <c r="D1583" s="10"/>
      <c r="E1583" s="23"/>
      <c r="F1583" s="26"/>
    </row>
    <row r="1584">
      <c r="A1584" s="10"/>
      <c r="B1584" s="22"/>
      <c r="C1584" s="10"/>
      <c r="D1584" s="10"/>
      <c r="E1584" s="23"/>
      <c r="F1584" s="26"/>
    </row>
    <row r="1585">
      <c r="A1585" s="10"/>
      <c r="B1585" s="22"/>
      <c r="C1585" s="10"/>
      <c r="D1585" s="10"/>
      <c r="E1585" s="23"/>
      <c r="F1585" s="26"/>
    </row>
    <row r="1586">
      <c r="A1586" s="10"/>
      <c r="B1586" s="22"/>
      <c r="C1586" s="10"/>
      <c r="D1586" s="10"/>
      <c r="E1586" s="23"/>
      <c r="F1586" s="26"/>
    </row>
    <row r="1587">
      <c r="A1587" s="10"/>
      <c r="B1587" s="22"/>
      <c r="C1587" s="10"/>
      <c r="D1587" s="10"/>
      <c r="E1587" s="23"/>
      <c r="F1587" s="26"/>
    </row>
    <row r="1588">
      <c r="A1588" s="10"/>
      <c r="B1588" s="22"/>
      <c r="C1588" s="10"/>
      <c r="D1588" s="10"/>
      <c r="E1588" s="23"/>
      <c r="F1588" s="26"/>
    </row>
    <row r="1589">
      <c r="A1589" s="10"/>
      <c r="B1589" s="22"/>
      <c r="C1589" s="10"/>
      <c r="D1589" s="10"/>
      <c r="E1589" s="23"/>
      <c r="F1589" s="26"/>
    </row>
    <row r="1590">
      <c r="A1590" s="10"/>
      <c r="B1590" s="22"/>
      <c r="C1590" s="10"/>
      <c r="D1590" s="10"/>
      <c r="E1590" s="23"/>
      <c r="F1590" s="26"/>
    </row>
    <row r="1591">
      <c r="A1591" s="10"/>
      <c r="B1591" s="22"/>
      <c r="C1591" s="10"/>
      <c r="D1591" s="10"/>
      <c r="E1591" s="23"/>
      <c r="F1591" s="26"/>
    </row>
    <row r="1592">
      <c r="A1592" s="10"/>
      <c r="B1592" s="22"/>
      <c r="C1592" s="10"/>
      <c r="D1592" s="10"/>
      <c r="E1592" s="23"/>
      <c r="F1592" s="26"/>
    </row>
    <row r="1593">
      <c r="A1593" s="10"/>
      <c r="B1593" s="22"/>
      <c r="C1593" s="10"/>
      <c r="D1593" s="10"/>
      <c r="E1593" s="23"/>
      <c r="F1593" s="26"/>
    </row>
    <row r="1594">
      <c r="A1594" s="10"/>
      <c r="B1594" s="22"/>
      <c r="C1594" s="10"/>
      <c r="D1594" s="10"/>
      <c r="E1594" s="23"/>
      <c r="F1594" s="26"/>
    </row>
    <row r="1595">
      <c r="A1595" s="10"/>
      <c r="B1595" s="22"/>
      <c r="C1595" s="10"/>
      <c r="D1595" s="10"/>
      <c r="E1595" s="23"/>
      <c r="F1595" s="26"/>
    </row>
    <row r="1596">
      <c r="A1596" s="10"/>
      <c r="B1596" s="22"/>
      <c r="C1596" s="10"/>
      <c r="D1596" s="10"/>
      <c r="E1596" s="23"/>
      <c r="F1596" s="26"/>
    </row>
    <row r="1597">
      <c r="A1597" s="10"/>
      <c r="B1597" s="22"/>
      <c r="C1597" s="10"/>
      <c r="D1597" s="10"/>
      <c r="E1597" s="23"/>
      <c r="F1597" s="26"/>
    </row>
    <row r="1598">
      <c r="A1598" s="10"/>
      <c r="B1598" s="22"/>
      <c r="C1598" s="10"/>
      <c r="D1598" s="10"/>
      <c r="E1598" s="23"/>
      <c r="F1598" s="26"/>
    </row>
    <row r="1599">
      <c r="A1599" s="10"/>
      <c r="B1599" s="22"/>
      <c r="C1599" s="10"/>
      <c r="D1599" s="10"/>
      <c r="E1599" s="23"/>
      <c r="F1599" s="26"/>
    </row>
    <row r="1600">
      <c r="A1600" s="10"/>
      <c r="B1600" s="22"/>
      <c r="C1600" s="10"/>
      <c r="D1600" s="10"/>
      <c r="E1600" s="23"/>
      <c r="F1600" s="26"/>
    </row>
    <row r="1601">
      <c r="A1601" s="10"/>
      <c r="B1601" s="22"/>
      <c r="C1601" s="10"/>
      <c r="D1601" s="10"/>
      <c r="E1601" s="23"/>
      <c r="F1601" s="26"/>
    </row>
    <row r="1602">
      <c r="A1602" s="10"/>
      <c r="B1602" s="22"/>
      <c r="C1602" s="10"/>
      <c r="D1602" s="10"/>
      <c r="E1602" s="23"/>
      <c r="F1602" s="26"/>
    </row>
    <row r="1603">
      <c r="A1603" s="10"/>
      <c r="B1603" s="22"/>
      <c r="C1603" s="10"/>
      <c r="D1603" s="10"/>
      <c r="E1603" s="23"/>
      <c r="F1603" s="26"/>
    </row>
    <row r="1604">
      <c r="A1604" s="10"/>
      <c r="B1604" s="22"/>
      <c r="C1604" s="10"/>
      <c r="D1604" s="10"/>
      <c r="E1604" s="23"/>
      <c r="F1604" s="26"/>
    </row>
    <row r="1605">
      <c r="A1605" s="10"/>
      <c r="B1605" s="22"/>
      <c r="C1605" s="10"/>
      <c r="D1605" s="10"/>
      <c r="E1605" s="23"/>
      <c r="F1605" s="26"/>
    </row>
    <row r="1606">
      <c r="A1606" s="10"/>
      <c r="B1606" s="22"/>
      <c r="C1606" s="10"/>
      <c r="D1606" s="10"/>
      <c r="E1606" s="23"/>
      <c r="F1606" s="26"/>
    </row>
    <row r="1607">
      <c r="A1607" s="10"/>
      <c r="B1607" s="22"/>
      <c r="C1607" s="10"/>
      <c r="D1607" s="10"/>
      <c r="E1607" s="23"/>
      <c r="F1607" s="26"/>
    </row>
    <row r="1608">
      <c r="A1608" s="10"/>
      <c r="B1608" s="22"/>
      <c r="C1608" s="10"/>
      <c r="D1608" s="10"/>
      <c r="E1608" s="23"/>
      <c r="F1608" s="26"/>
    </row>
    <row r="1609">
      <c r="A1609" s="10"/>
      <c r="B1609" s="22"/>
      <c r="C1609" s="10"/>
      <c r="D1609" s="10"/>
      <c r="E1609" s="23"/>
      <c r="F1609" s="26"/>
    </row>
    <row r="1610">
      <c r="A1610" s="10"/>
      <c r="B1610" s="22"/>
      <c r="C1610" s="10"/>
      <c r="D1610" s="10"/>
      <c r="E1610" s="23"/>
      <c r="F1610" s="26"/>
    </row>
    <row r="1611">
      <c r="A1611" s="10"/>
      <c r="B1611" s="22"/>
      <c r="C1611" s="10"/>
      <c r="D1611" s="10"/>
      <c r="E1611" s="23"/>
      <c r="F1611" s="26"/>
    </row>
    <row r="1612">
      <c r="A1612" s="10"/>
      <c r="B1612" s="22"/>
      <c r="C1612" s="10"/>
      <c r="D1612" s="10"/>
      <c r="E1612" s="23"/>
      <c r="F1612" s="26"/>
    </row>
    <row r="1613">
      <c r="A1613" s="10"/>
      <c r="B1613" s="22"/>
      <c r="C1613" s="10"/>
      <c r="D1613" s="10"/>
      <c r="E1613" s="23"/>
      <c r="F1613" s="26"/>
    </row>
    <row r="1614">
      <c r="A1614" s="10"/>
      <c r="B1614" s="22"/>
      <c r="C1614" s="10"/>
      <c r="D1614" s="10"/>
      <c r="E1614" s="23"/>
      <c r="F1614" s="26"/>
    </row>
    <row r="1615">
      <c r="A1615" s="10"/>
      <c r="B1615" s="22"/>
      <c r="C1615" s="10"/>
      <c r="D1615" s="10"/>
      <c r="E1615" s="23"/>
      <c r="F1615" s="26"/>
    </row>
    <row r="1616">
      <c r="A1616" s="10"/>
      <c r="B1616" s="22"/>
      <c r="C1616" s="10"/>
      <c r="D1616" s="10"/>
      <c r="E1616" s="23"/>
      <c r="F1616" s="26"/>
    </row>
    <row r="1617">
      <c r="A1617" s="10"/>
      <c r="B1617" s="22"/>
      <c r="C1617" s="10"/>
      <c r="D1617" s="10"/>
      <c r="E1617" s="23"/>
      <c r="F1617" s="26"/>
    </row>
    <row r="1618">
      <c r="A1618" s="10"/>
      <c r="B1618" s="22"/>
      <c r="C1618" s="10"/>
      <c r="D1618" s="10"/>
      <c r="E1618" s="23"/>
      <c r="F1618" s="26"/>
    </row>
    <row r="1619">
      <c r="A1619" s="10"/>
      <c r="B1619" s="22"/>
      <c r="C1619" s="10"/>
      <c r="D1619" s="10"/>
      <c r="E1619" s="23"/>
      <c r="F1619" s="26"/>
    </row>
    <row r="1620">
      <c r="A1620" s="10"/>
      <c r="B1620" s="22"/>
      <c r="C1620" s="10"/>
      <c r="D1620" s="10"/>
      <c r="E1620" s="23"/>
      <c r="F1620" s="26"/>
    </row>
    <row r="1621">
      <c r="A1621" s="10"/>
      <c r="B1621" s="22"/>
      <c r="C1621" s="10"/>
      <c r="D1621" s="10"/>
      <c r="E1621" s="23"/>
      <c r="F1621" s="26"/>
    </row>
    <row r="1622">
      <c r="A1622" s="10"/>
      <c r="B1622" s="22"/>
      <c r="C1622" s="10"/>
      <c r="D1622" s="10"/>
      <c r="E1622" s="23"/>
      <c r="F1622" s="26"/>
    </row>
    <row r="1623">
      <c r="A1623" s="10"/>
      <c r="B1623" s="22"/>
      <c r="C1623" s="10"/>
      <c r="D1623" s="10"/>
      <c r="E1623" s="23"/>
      <c r="F1623" s="26"/>
    </row>
    <row r="1624">
      <c r="A1624" s="10"/>
      <c r="B1624" s="22"/>
      <c r="C1624" s="10"/>
      <c r="D1624" s="10"/>
      <c r="E1624" s="23"/>
      <c r="F1624" s="26"/>
    </row>
    <row r="1625">
      <c r="A1625" s="10"/>
      <c r="B1625" s="22"/>
      <c r="C1625" s="10"/>
      <c r="D1625" s="10"/>
      <c r="E1625" s="23"/>
      <c r="F1625" s="26"/>
    </row>
    <row r="1626">
      <c r="A1626" s="10"/>
      <c r="B1626" s="22"/>
      <c r="C1626" s="10"/>
      <c r="D1626" s="10"/>
      <c r="E1626" s="23"/>
      <c r="F1626" s="26"/>
    </row>
    <row r="1627">
      <c r="A1627" s="10"/>
      <c r="B1627" s="22"/>
      <c r="C1627" s="10"/>
      <c r="D1627" s="10"/>
      <c r="E1627" s="23"/>
      <c r="F1627" s="26"/>
    </row>
    <row r="1628">
      <c r="A1628" s="10"/>
      <c r="B1628" s="22"/>
      <c r="C1628" s="10"/>
      <c r="D1628" s="10"/>
      <c r="E1628" s="23"/>
      <c r="F1628" s="26"/>
    </row>
    <row r="1629">
      <c r="A1629" s="10"/>
      <c r="B1629" s="22"/>
      <c r="C1629" s="10"/>
      <c r="D1629" s="10"/>
      <c r="E1629" s="23"/>
      <c r="F1629" s="26"/>
    </row>
    <row r="1630">
      <c r="A1630" s="10"/>
      <c r="B1630" s="22"/>
      <c r="C1630" s="10"/>
      <c r="D1630" s="10"/>
      <c r="E1630" s="23"/>
      <c r="F1630" s="26"/>
    </row>
    <row r="1631">
      <c r="A1631" s="10"/>
      <c r="B1631" s="22"/>
      <c r="C1631" s="10"/>
      <c r="D1631" s="10"/>
      <c r="E1631" s="23"/>
      <c r="F1631" s="26"/>
    </row>
    <row r="1632">
      <c r="A1632" s="10"/>
      <c r="B1632" s="22"/>
      <c r="C1632" s="10"/>
      <c r="D1632" s="10"/>
      <c r="E1632" s="23"/>
      <c r="F1632" s="26"/>
    </row>
    <row r="1633">
      <c r="A1633" s="10"/>
      <c r="B1633" s="22"/>
      <c r="C1633" s="10"/>
      <c r="D1633" s="10"/>
      <c r="E1633" s="23"/>
      <c r="F1633" s="26"/>
    </row>
    <row r="1634">
      <c r="A1634" s="10"/>
      <c r="B1634" s="22"/>
      <c r="C1634" s="10"/>
      <c r="D1634" s="10"/>
      <c r="E1634" s="23"/>
      <c r="F1634" s="26"/>
    </row>
    <row r="1635">
      <c r="A1635" s="10"/>
      <c r="B1635" s="22"/>
      <c r="C1635" s="10"/>
      <c r="D1635" s="10"/>
      <c r="E1635" s="23"/>
      <c r="F1635" s="26"/>
    </row>
    <row r="1636">
      <c r="A1636" s="10"/>
      <c r="B1636" s="22"/>
      <c r="C1636" s="10"/>
      <c r="D1636" s="10"/>
      <c r="E1636" s="23"/>
      <c r="F1636" s="26"/>
    </row>
    <row r="1637">
      <c r="A1637" s="10"/>
      <c r="B1637" s="22"/>
      <c r="C1637" s="10"/>
      <c r="D1637" s="10"/>
      <c r="E1637" s="23"/>
      <c r="F1637" s="26"/>
    </row>
    <row r="1638">
      <c r="A1638" s="10"/>
      <c r="B1638" s="22"/>
      <c r="C1638" s="10"/>
      <c r="D1638" s="10"/>
      <c r="E1638" s="23"/>
      <c r="F1638" s="26"/>
    </row>
    <row r="1639">
      <c r="A1639" s="10"/>
      <c r="B1639" s="22"/>
      <c r="C1639" s="10"/>
      <c r="D1639" s="10"/>
      <c r="E1639" s="23"/>
      <c r="F1639" s="26"/>
    </row>
    <row r="1640">
      <c r="A1640" s="10"/>
      <c r="B1640" s="22"/>
      <c r="C1640" s="10"/>
      <c r="D1640" s="10"/>
      <c r="E1640" s="23"/>
      <c r="F1640" s="26"/>
    </row>
    <row r="1641">
      <c r="A1641" s="10"/>
      <c r="B1641" s="22"/>
      <c r="C1641" s="10"/>
      <c r="D1641" s="10"/>
      <c r="E1641" s="23"/>
      <c r="F1641" s="26"/>
    </row>
    <row r="1642">
      <c r="A1642" s="10"/>
      <c r="B1642" s="22"/>
      <c r="C1642" s="10"/>
      <c r="D1642" s="10"/>
      <c r="E1642" s="23"/>
      <c r="F1642" s="26"/>
    </row>
    <row r="1643">
      <c r="A1643" s="10"/>
      <c r="B1643" s="22"/>
      <c r="C1643" s="10"/>
      <c r="D1643" s="10"/>
      <c r="E1643" s="23"/>
      <c r="F1643" s="26"/>
    </row>
    <row r="1644">
      <c r="A1644" s="10"/>
      <c r="B1644" s="22"/>
      <c r="C1644" s="10"/>
      <c r="D1644" s="10"/>
      <c r="E1644" s="23"/>
      <c r="F1644" s="26"/>
    </row>
    <row r="1645">
      <c r="A1645" s="10"/>
      <c r="B1645" s="22"/>
      <c r="C1645" s="10"/>
      <c r="D1645" s="10"/>
      <c r="E1645" s="23"/>
      <c r="F1645" s="26"/>
    </row>
    <row r="1646">
      <c r="A1646" s="10"/>
      <c r="B1646" s="22"/>
      <c r="C1646" s="10"/>
      <c r="D1646" s="10"/>
      <c r="E1646" s="23"/>
      <c r="F1646" s="26"/>
    </row>
    <row r="1647">
      <c r="A1647" s="10"/>
      <c r="B1647" s="22"/>
      <c r="C1647" s="10"/>
      <c r="D1647" s="10"/>
      <c r="E1647" s="23"/>
      <c r="F1647" s="26"/>
    </row>
    <row r="1648">
      <c r="A1648" s="10"/>
      <c r="B1648" s="22"/>
      <c r="C1648" s="10"/>
      <c r="D1648" s="10"/>
      <c r="E1648" s="23"/>
      <c r="F1648" s="26"/>
    </row>
    <row r="1649">
      <c r="A1649" s="10"/>
      <c r="B1649" s="22"/>
      <c r="C1649" s="10"/>
      <c r="D1649" s="10"/>
      <c r="E1649" s="23"/>
      <c r="F1649" s="26"/>
    </row>
    <row r="1650">
      <c r="A1650" s="10"/>
      <c r="B1650" s="22"/>
      <c r="C1650" s="10"/>
      <c r="D1650" s="10"/>
      <c r="E1650" s="23"/>
      <c r="F1650" s="26"/>
    </row>
    <row r="1651">
      <c r="A1651" s="10"/>
      <c r="B1651" s="22"/>
      <c r="C1651" s="10"/>
      <c r="D1651" s="10"/>
      <c r="E1651" s="23"/>
      <c r="F1651" s="26"/>
    </row>
    <row r="1652">
      <c r="A1652" s="10"/>
      <c r="B1652" s="22"/>
      <c r="C1652" s="10"/>
      <c r="D1652" s="10"/>
      <c r="E1652" s="23"/>
      <c r="F1652" s="26"/>
    </row>
    <row r="1653">
      <c r="A1653" s="10"/>
      <c r="B1653" s="22"/>
      <c r="C1653" s="10"/>
      <c r="D1653" s="10"/>
      <c r="E1653" s="23"/>
      <c r="F1653" s="26"/>
    </row>
    <row r="1654">
      <c r="A1654" s="10"/>
      <c r="B1654" s="22"/>
      <c r="C1654" s="10"/>
      <c r="D1654" s="10"/>
      <c r="E1654" s="23"/>
      <c r="F1654" s="26"/>
    </row>
    <row r="1655">
      <c r="A1655" s="10"/>
      <c r="B1655" s="22"/>
      <c r="C1655" s="10"/>
      <c r="D1655" s="10"/>
      <c r="E1655" s="23"/>
      <c r="F1655" s="26"/>
    </row>
    <row r="1656">
      <c r="A1656" s="10"/>
      <c r="B1656" s="22"/>
      <c r="C1656" s="10"/>
      <c r="D1656" s="10"/>
      <c r="E1656" s="23"/>
      <c r="F1656" s="26"/>
    </row>
    <row r="1657">
      <c r="A1657" s="10"/>
      <c r="B1657" s="22"/>
      <c r="C1657" s="10"/>
      <c r="D1657" s="10"/>
      <c r="E1657" s="23"/>
      <c r="F1657" s="26"/>
    </row>
    <row r="1658">
      <c r="A1658" s="10"/>
      <c r="B1658" s="22"/>
      <c r="C1658" s="10"/>
      <c r="D1658" s="10"/>
      <c r="E1658" s="23"/>
      <c r="F1658" s="26"/>
    </row>
    <row r="1659">
      <c r="A1659" s="10"/>
      <c r="B1659" s="22"/>
      <c r="C1659" s="10"/>
      <c r="D1659" s="10"/>
      <c r="E1659" s="23"/>
      <c r="F1659" s="26"/>
    </row>
    <row r="1660">
      <c r="A1660" s="10"/>
      <c r="B1660" s="22"/>
      <c r="C1660" s="10"/>
      <c r="D1660" s="10"/>
      <c r="E1660" s="23"/>
      <c r="F1660" s="26"/>
    </row>
    <row r="1661">
      <c r="A1661" s="10"/>
      <c r="B1661" s="22"/>
      <c r="C1661" s="10"/>
      <c r="D1661" s="10"/>
      <c r="E1661" s="23"/>
      <c r="F1661" s="26"/>
    </row>
    <row r="1662">
      <c r="A1662" s="10"/>
      <c r="B1662" s="22"/>
      <c r="C1662" s="10"/>
      <c r="D1662" s="10"/>
      <c r="E1662" s="23"/>
      <c r="F1662" s="26"/>
    </row>
    <row r="1663">
      <c r="A1663" s="10"/>
      <c r="B1663" s="22"/>
      <c r="C1663" s="10"/>
      <c r="D1663" s="10"/>
      <c r="E1663" s="23"/>
      <c r="F1663" s="26"/>
    </row>
    <row r="1664">
      <c r="A1664" s="10"/>
      <c r="B1664" s="22"/>
      <c r="C1664" s="10"/>
      <c r="D1664" s="10"/>
      <c r="E1664" s="23"/>
      <c r="F1664" s="26"/>
    </row>
    <row r="1665">
      <c r="A1665" s="10"/>
      <c r="B1665" s="22"/>
      <c r="C1665" s="10"/>
      <c r="D1665" s="10"/>
      <c r="E1665" s="23"/>
      <c r="F1665" s="26"/>
    </row>
    <row r="1666">
      <c r="A1666" s="10"/>
      <c r="B1666" s="22"/>
      <c r="C1666" s="10"/>
      <c r="D1666" s="10"/>
      <c r="E1666" s="23"/>
      <c r="F1666" s="26"/>
    </row>
    <row r="1667">
      <c r="A1667" s="10"/>
      <c r="B1667" s="22"/>
      <c r="C1667" s="10"/>
      <c r="D1667" s="10"/>
      <c r="E1667" s="23"/>
      <c r="F1667" s="26"/>
    </row>
    <row r="1668">
      <c r="A1668" s="10"/>
      <c r="B1668" s="22"/>
      <c r="C1668" s="10"/>
      <c r="D1668" s="10"/>
      <c r="E1668" s="23"/>
      <c r="F1668" s="26"/>
    </row>
    <row r="1669">
      <c r="A1669" s="10"/>
      <c r="B1669" s="22"/>
      <c r="C1669" s="10"/>
      <c r="D1669" s="10"/>
      <c r="E1669" s="23"/>
      <c r="F1669" s="26"/>
    </row>
    <row r="1670">
      <c r="A1670" s="10"/>
      <c r="B1670" s="22"/>
      <c r="C1670" s="10"/>
      <c r="D1670" s="10"/>
      <c r="E1670" s="23"/>
      <c r="F1670" s="26"/>
    </row>
    <row r="1671">
      <c r="A1671" s="10"/>
      <c r="B1671" s="22"/>
      <c r="C1671" s="10"/>
      <c r="D1671" s="10"/>
      <c r="E1671" s="23"/>
      <c r="F1671" s="26"/>
    </row>
    <row r="1672">
      <c r="A1672" s="10"/>
      <c r="B1672" s="22"/>
      <c r="C1672" s="10"/>
      <c r="D1672" s="10"/>
      <c r="E1672" s="23"/>
      <c r="F1672" s="26"/>
    </row>
    <row r="1673">
      <c r="A1673" s="10"/>
      <c r="B1673" s="22"/>
      <c r="C1673" s="10"/>
      <c r="D1673" s="10"/>
      <c r="E1673" s="23"/>
      <c r="F1673" s="26"/>
    </row>
    <row r="1674">
      <c r="A1674" s="10"/>
      <c r="B1674" s="22"/>
      <c r="C1674" s="10"/>
      <c r="D1674" s="10"/>
      <c r="E1674" s="23"/>
      <c r="F1674" s="26"/>
    </row>
    <row r="1675">
      <c r="A1675" s="10"/>
      <c r="B1675" s="22"/>
      <c r="C1675" s="10"/>
      <c r="D1675" s="10"/>
      <c r="E1675" s="23"/>
      <c r="F1675" s="26"/>
    </row>
    <row r="1676">
      <c r="A1676" s="10"/>
      <c r="B1676" s="22"/>
      <c r="C1676" s="10"/>
      <c r="D1676" s="10"/>
      <c r="E1676" s="23"/>
      <c r="F1676" s="26"/>
    </row>
    <row r="1677">
      <c r="A1677" s="10"/>
      <c r="B1677" s="22"/>
      <c r="C1677" s="10"/>
      <c r="D1677" s="10"/>
      <c r="E1677" s="23"/>
      <c r="F1677" s="26"/>
    </row>
    <row r="1678">
      <c r="A1678" s="10"/>
      <c r="B1678" s="22"/>
      <c r="C1678" s="10"/>
      <c r="D1678" s="10"/>
      <c r="E1678" s="23"/>
      <c r="F1678" s="26"/>
    </row>
    <row r="1679">
      <c r="A1679" s="10"/>
      <c r="B1679" s="22"/>
      <c r="C1679" s="10"/>
      <c r="D1679" s="10"/>
      <c r="E1679" s="23"/>
      <c r="F1679" s="26"/>
    </row>
    <row r="1680">
      <c r="A1680" s="10"/>
      <c r="B1680" s="22"/>
      <c r="C1680" s="10"/>
      <c r="D1680" s="10"/>
      <c r="E1680" s="23"/>
      <c r="F1680" s="26"/>
    </row>
    <row r="1681">
      <c r="A1681" s="10"/>
      <c r="B1681" s="22"/>
      <c r="C1681" s="10"/>
      <c r="D1681" s="10"/>
      <c r="E1681" s="23"/>
      <c r="F1681" s="26"/>
    </row>
    <row r="1682">
      <c r="A1682" s="10"/>
      <c r="B1682" s="22"/>
      <c r="C1682" s="10"/>
      <c r="D1682" s="10"/>
      <c r="E1682" s="23"/>
      <c r="F1682" s="26"/>
    </row>
    <row r="1683">
      <c r="A1683" s="10"/>
      <c r="B1683" s="22"/>
      <c r="C1683" s="10"/>
      <c r="D1683" s="10"/>
      <c r="E1683" s="23"/>
      <c r="F1683" s="26"/>
    </row>
    <row r="1684">
      <c r="A1684" s="10"/>
      <c r="B1684" s="22"/>
      <c r="C1684" s="10"/>
      <c r="D1684" s="10"/>
      <c r="E1684" s="23"/>
      <c r="F1684" s="26"/>
    </row>
    <row r="1685">
      <c r="A1685" s="10"/>
      <c r="B1685" s="22"/>
      <c r="C1685" s="10"/>
      <c r="D1685" s="10"/>
      <c r="E1685" s="23"/>
      <c r="F1685" s="26"/>
    </row>
    <row r="1686">
      <c r="A1686" s="10"/>
      <c r="B1686" s="22"/>
      <c r="C1686" s="10"/>
      <c r="D1686" s="10"/>
      <c r="E1686" s="23"/>
      <c r="F1686" s="26"/>
    </row>
    <row r="1687">
      <c r="A1687" s="10"/>
      <c r="B1687" s="22"/>
      <c r="C1687" s="10"/>
      <c r="D1687" s="10"/>
      <c r="E1687" s="23"/>
      <c r="F1687" s="26"/>
    </row>
    <row r="1688">
      <c r="A1688" s="10"/>
      <c r="B1688" s="22"/>
      <c r="C1688" s="10"/>
      <c r="D1688" s="10"/>
      <c r="E1688" s="23"/>
      <c r="F1688" s="26"/>
    </row>
    <row r="1689">
      <c r="A1689" s="10"/>
      <c r="B1689" s="22"/>
      <c r="C1689" s="10"/>
      <c r="D1689" s="10"/>
      <c r="E1689" s="23"/>
      <c r="F1689" s="26"/>
    </row>
    <row r="1690">
      <c r="A1690" s="10"/>
      <c r="B1690" s="22"/>
      <c r="C1690" s="10"/>
      <c r="D1690" s="10"/>
      <c r="E1690" s="23"/>
      <c r="F1690" s="26"/>
    </row>
    <row r="1691">
      <c r="A1691" s="10"/>
      <c r="B1691" s="22"/>
      <c r="C1691" s="10"/>
      <c r="D1691" s="10"/>
      <c r="E1691" s="23"/>
      <c r="F1691" s="26"/>
    </row>
    <row r="1692">
      <c r="A1692" s="10"/>
      <c r="B1692" s="22"/>
      <c r="C1692" s="10"/>
      <c r="D1692" s="10"/>
      <c r="E1692" s="23"/>
      <c r="F1692" s="26"/>
    </row>
    <row r="1693">
      <c r="A1693" s="10"/>
      <c r="B1693" s="22"/>
      <c r="C1693" s="10"/>
      <c r="D1693" s="10"/>
      <c r="E1693" s="23"/>
      <c r="F1693" s="26"/>
    </row>
    <row r="1694">
      <c r="A1694" s="10"/>
      <c r="B1694" s="22"/>
      <c r="C1694" s="10"/>
      <c r="D1694" s="10"/>
      <c r="E1694" s="23"/>
      <c r="F1694" s="26"/>
    </row>
    <row r="1695">
      <c r="A1695" s="10"/>
      <c r="B1695" s="22"/>
      <c r="C1695" s="10"/>
      <c r="D1695" s="10"/>
      <c r="E1695" s="23"/>
      <c r="F1695" s="26"/>
    </row>
    <row r="1696">
      <c r="A1696" s="10"/>
      <c r="B1696" s="22"/>
      <c r="C1696" s="10"/>
      <c r="D1696" s="10"/>
      <c r="E1696" s="23"/>
      <c r="F1696" s="26"/>
    </row>
    <row r="1697">
      <c r="A1697" s="10"/>
      <c r="B1697" s="22"/>
      <c r="C1697" s="10"/>
      <c r="D1697" s="10"/>
      <c r="E1697" s="23"/>
      <c r="F1697" s="26"/>
    </row>
    <row r="1698">
      <c r="A1698" s="10"/>
      <c r="B1698" s="22"/>
      <c r="C1698" s="10"/>
      <c r="D1698" s="10"/>
      <c r="E1698" s="23"/>
      <c r="F1698" s="26"/>
    </row>
    <row r="1699">
      <c r="A1699" s="10"/>
      <c r="B1699" s="22"/>
      <c r="C1699" s="10"/>
      <c r="D1699" s="10"/>
      <c r="E1699" s="23"/>
      <c r="F1699" s="26"/>
    </row>
    <row r="1700">
      <c r="A1700" s="10"/>
      <c r="B1700" s="22"/>
      <c r="C1700" s="10"/>
      <c r="D1700" s="10"/>
      <c r="E1700" s="23"/>
      <c r="F1700" s="26"/>
    </row>
    <row r="1701">
      <c r="A1701" s="10"/>
      <c r="B1701" s="22"/>
      <c r="C1701" s="10"/>
      <c r="D1701" s="10"/>
      <c r="E1701" s="23"/>
      <c r="F1701" s="26"/>
    </row>
    <row r="1702">
      <c r="A1702" s="10"/>
      <c r="B1702" s="22"/>
      <c r="C1702" s="10"/>
      <c r="D1702" s="10"/>
      <c r="E1702" s="23"/>
      <c r="F1702" s="26"/>
    </row>
    <row r="1703">
      <c r="A1703" s="10"/>
      <c r="B1703" s="22"/>
      <c r="C1703" s="10"/>
      <c r="D1703" s="10"/>
      <c r="E1703" s="23"/>
      <c r="F1703" s="26"/>
    </row>
    <row r="1704">
      <c r="A1704" s="10"/>
      <c r="B1704" s="22"/>
      <c r="C1704" s="10"/>
      <c r="D1704" s="10"/>
      <c r="E1704" s="23"/>
      <c r="F1704" s="26"/>
    </row>
    <row r="1705">
      <c r="A1705" s="10"/>
      <c r="B1705" s="22"/>
      <c r="C1705" s="10"/>
      <c r="D1705" s="10"/>
      <c r="E1705" s="23"/>
      <c r="F1705" s="26"/>
    </row>
    <row r="1706">
      <c r="A1706" s="10"/>
      <c r="B1706" s="22"/>
      <c r="C1706" s="10"/>
      <c r="D1706" s="10"/>
      <c r="E1706" s="23"/>
      <c r="F1706" s="26"/>
    </row>
    <row r="1707">
      <c r="A1707" s="10"/>
      <c r="B1707" s="22"/>
      <c r="C1707" s="10"/>
      <c r="D1707" s="10"/>
      <c r="E1707" s="23"/>
      <c r="F1707" s="26"/>
    </row>
    <row r="1708">
      <c r="A1708" s="10"/>
      <c r="B1708" s="22"/>
      <c r="C1708" s="10"/>
      <c r="D1708" s="10"/>
      <c r="E1708" s="23"/>
      <c r="F1708" s="26"/>
    </row>
    <row r="1709">
      <c r="A1709" s="10"/>
      <c r="B1709" s="22"/>
      <c r="C1709" s="10"/>
      <c r="D1709" s="10"/>
      <c r="E1709" s="23"/>
      <c r="F1709" s="26"/>
    </row>
    <row r="1710">
      <c r="A1710" s="10"/>
      <c r="B1710" s="22"/>
      <c r="C1710" s="10"/>
      <c r="D1710" s="10"/>
      <c r="E1710" s="23"/>
      <c r="F1710" s="26"/>
    </row>
    <row r="1711">
      <c r="A1711" s="10"/>
      <c r="B1711" s="22"/>
      <c r="C1711" s="10"/>
      <c r="D1711" s="10"/>
      <c r="E1711" s="23"/>
      <c r="F1711" s="26"/>
    </row>
    <row r="1712">
      <c r="A1712" s="10"/>
      <c r="B1712" s="22"/>
      <c r="C1712" s="10"/>
      <c r="D1712" s="10"/>
      <c r="E1712" s="23"/>
      <c r="F1712" s="26"/>
    </row>
    <row r="1713">
      <c r="A1713" s="10"/>
      <c r="B1713" s="22"/>
      <c r="C1713" s="10"/>
      <c r="D1713" s="10"/>
      <c r="E1713" s="23"/>
      <c r="F1713" s="26"/>
    </row>
    <row r="1714">
      <c r="A1714" s="10"/>
      <c r="B1714" s="22"/>
      <c r="C1714" s="10"/>
      <c r="D1714" s="10"/>
      <c r="E1714" s="23"/>
      <c r="F1714" s="26"/>
    </row>
    <row r="1715">
      <c r="A1715" s="10"/>
      <c r="B1715" s="22"/>
      <c r="C1715" s="10"/>
      <c r="D1715" s="10"/>
      <c r="E1715" s="23"/>
      <c r="F1715" s="26"/>
    </row>
    <row r="1716">
      <c r="A1716" s="10"/>
      <c r="B1716" s="22"/>
      <c r="C1716" s="10"/>
      <c r="D1716" s="10"/>
      <c r="E1716" s="23"/>
      <c r="F1716" s="26"/>
    </row>
    <row r="1717">
      <c r="A1717" s="10"/>
      <c r="B1717" s="22"/>
      <c r="C1717" s="10"/>
      <c r="D1717" s="10"/>
      <c r="E1717" s="23"/>
      <c r="F1717" s="26"/>
    </row>
    <row r="1718">
      <c r="A1718" s="10"/>
      <c r="B1718" s="22"/>
      <c r="C1718" s="10"/>
      <c r="D1718" s="10"/>
      <c r="E1718" s="23"/>
      <c r="F1718" s="26"/>
    </row>
    <row r="1719">
      <c r="A1719" s="10"/>
      <c r="B1719" s="22"/>
      <c r="C1719" s="10"/>
      <c r="D1719" s="10"/>
      <c r="E1719" s="23"/>
      <c r="F1719" s="26"/>
    </row>
    <row r="1720">
      <c r="A1720" s="10"/>
      <c r="B1720" s="22"/>
      <c r="C1720" s="10"/>
      <c r="D1720" s="10"/>
      <c r="E1720" s="23"/>
      <c r="F1720" s="26"/>
    </row>
    <row r="1721">
      <c r="A1721" s="10"/>
      <c r="B1721" s="22"/>
      <c r="C1721" s="10"/>
      <c r="D1721" s="10"/>
      <c r="E1721" s="23"/>
      <c r="F1721" s="26"/>
    </row>
    <row r="1722">
      <c r="A1722" s="10"/>
      <c r="B1722" s="22"/>
      <c r="C1722" s="10"/>
      <c r="D1722" s="10"/>
      <c r="E1722" s="23"/>
      <c r="F1722" s="26"/>
    </row>
    <row r="1723">
      <c r="A1723" s="10"/>
      <c r="B1723" s="22"/>
      <c r="C1723" s="10"/>
      <c r="D1723" s="10"/>
      <c r="E1723" s="23"/>
      <c r="F1723" s="26"/>
    </row>
    <row r="1724">
      <c r="A1724" s="10"/>
      <c r="B1724" s="22"/>
      <c r="C1724" s="10"/>
      <c r="D1724" s="10"/>
      <c r="E1724" s="23"/>
      <c r="F1724" s="26"/>
    </row>
    <row r="1725">
      <c r="A1725" s="10"/>
      <c r="B1725" s="22"/>
      <c r="C1725" s="10"/>
      <c r="D1725" s="10"/>
      <c r="E1725" s="23"/>
      <c r="F1725" s="26"/>
    </row>
    <row r="1726">
      <c r="A1726" s="10"/>
      <c r="B1726" s="22"/>
      <c r="C1726" s="10"/>
      <c r="D1726" s="10"/>
      <c r="E1726" s="23"/>
      <c r="F1726" s="26"/>
    </row>
    <row r="1727">
      <c r="A1727" s="10"/>
      <c r="B1727" s="22"/>
      <c r="C1727" s="10"/>
      <c r="D1727" s="10"/>
      <c r="E1727" s="23"/>
      <c r="F1727" s="26"/>
    </row>
    <row r="1728">
      <c r="A1728" s="10"/>
      <c r="B1728" s="22"/>
      <c r="C1728" s="10"/>
      <c r="D1728" s="10"/>
      <c r="E1728" s="23"/>
      <c r="F1728" s="26"/>
    </row>
    <row r="1729">
      <c r="A1729" s="10"/>
      <c r="B1729" s="22"/>
      <c r="C1729" s="10"/>
      <c r="D1729" s="10"/>
      <c r="E1729" s="23"/>
      <c r="F1729" s="26"/>
    </row>
    <row r="1730">
      <c r="A1730" s="10"/>
      <c r="B1730" s="22"/>
      <c r="C1730" s="10"/>
      <c r="D1730" s="10"/>
      <c r="E1730" s="23"/>
      <c r="F1730" s="26"/>
    </row>
    <row r="1731">
      <c r="A1731" s="10"/>
      <c r="B1731" s="22"/>
      <c r="C1731" s="10"/>
      <c r="D1731" s="10"/>
      <c r="E1731" s="23"/>
      <c r="F1731" s="26"/>
    </row>
    <row r="1732">
      <c r="A1732" s="10"/>
      <c r="B1732" s="22"/>
      <c r="C1732" s="10"/>
      <c r="D1732" s="10"/>
      <c r="E1732" s="23"/>
      <c r="F1732" s="26"/>
    </row>
    <row r="1733">
      <c r="A1733" s="10"/>
      <c r="B1733" s="22"/>
      <c r="C1733" s="10"/>
      <c r="D1733" s="10"/>
      <c r="E1733" s="23"/>
      <c r="F1733" s="26"/>
    </row>
    <row r="1734">
      <c r="A1734" s="10"/>
      <c r="B1734" s="22"/>
      <c r="C1734" s="10"/>
      <c r="D1734" s="10"/>
      <c r="E1734" s="23"/>
      <c r="F1734" s="26"/>
    </row>
    <row r="1735">
      <c r="A1735" s="10"/>
      <c r="B1735" s="22"/>
      <c r="C1735" s="10"/>
      <c r="D1735" s="10"/>
      <c r="E1735" s="23"/>
      <c r="F1735" s="26"/>
    </row>
    <row r="1736">
      <c r="A1736" s="10"/>
      <c r="B1736" s="22"/>
      <c r="C1736" s="10"/>
      <c r="D1736" s="10"/>
      <c r="E1736" s="23"/>
      <c r="F1736" s="26"/>
    </row>
    <row r="1737">
      <c r="A1737" s="10"/>
      <c r="B1737" s="22"/>
      <c r="C1737" s="10"/>
      <c r="D1737" s="10"/>
      <c r="E1737" s="23"/>
      <c r="F1737" s="26"/>
    </row>
    <row r="1738">
      <c r="A1738" s="10"/>
      <c r="B1738" s="22"/>
      <c r="C1738" s="10"/>
      <c r="D1738" s="10"/>
      <c r="E1738" s="23"/>
      <c r="F1738" s="26"/>
    </row>
    <row r="1739">
      <c r="A1739" s="10"/>
      <c r="B1739" s="22"/>
      <c r="C1739" s="10"/>
      <c r="D1739" s="10"/>
      <c r="E1739" s="23"/>
      <c r="F1739" s="26"/>
    </row>
    <row r="1740">
      <c r="A1740" s="10"/>
      <c r="B1740" s="22"/>
      <c r="C1740" s="10"/>
      <c r="D1740" s="10"/>
      <c r="E1740" s="23"/>
      <c r="F1740" s="26"/>
    </row>
    <row r="1741">
      <c r="A1741" s="10"/>
      <c r="B1741" s="22"/>
      <c r="C1741" s="10"/>
      <c r="D1741" s="10"/>
      <c r="E1741" s="23"/>
      <c r="F1741" s="26"/>
    </row>
    <row r="1742">
      <c r="A1742" s="10"/>
      <c r="B1742" s="22"/>
      <c r="C1742" s="10"/>
      <c r="D1742" s="10"/>
      <c r="E1742" s="23"/>
      <c r="F1742" s="26"/>
    </row>
    <row r="1743">
      <c r="A1743" s="10"/>
      <c r="B1743" s="22"/>
      <c r="C1743" s="10"/>
      <c r="D1743" s="10"/>
      <c r="E1743" s="23"/>
      <c r="F1743" s="26"/>
    </row>
    <row r="1744">
      <c r="A1744" s="10"/>
      <c r="B1744" s="22"/>
      <c r="C1744" s="10"/>
      <c r="D1744" s="10"/>
      <c r="E1744" s="23"/>
      <c r="F1744" s="26"/>
    </row>
    <row r="1745">
      <c r="A1745" s="10"/>
      <c r="B1745" s="22"/>
      <c r="C1745" s="10"/>
      <c r="D1745" s="10"/>
      <c r="E1745" s="23"/>
      <c r="F1745" s="26"/>
    </row>
    <row r="1746">
      <c r="A1746" s="10"/>
      <c r="B1746" s="22"/>
      <c r="C1746" s="10"/>
      <c r="D1746" s="10"/>
      <c r="E1746" s="23"/>
      <c r="F1746" s="26"/>
    </row>
    <row r="1747">
      <c r="A1747" s="10"/>
      <c r="B1747" s="22"/>
      <c r="C1747" s="10"/>
      <c r="D1747" s="10"/>
      <c r="E1747" s="23"/>
      <c r="F1747" s="26"/>
    </row>
    <row r="1748">
      <c r="A1748" s="10"/>
      <c r="B1748" s="22"/>
      <c r="C1748" s="10"/>
      <c r="D1748" s="10"/>
      <c r="E1748" s="23"/>
      <c r="F1748" s="26"/>
    </row>
    <row r="1749">
      <c r="A1749" s="10"/>
      <c r="B1749" s="22"/>
      <c r="C1749" s="10"/>
      <c r="D1749" s="10"/>
      <c r="E1749" s="23"/>
      <c r="F1749" s="26"/>
    </row>
    <row r="1750">
      <c r="A1750" s="10"/>
      <c r="B1750" s="22"/>
      <c r="C1750" s="10"/>
      <c r="D1750" s="10"/>
      <c r="E1750" s="23"/>
      <c r="F1750" s="26"/>
    </row>
    <row r="1751">
      <c r="A1751" s="10"/>
      <c r="B1751" s="22"/>
      <c r="C1751" s="10"/>
      <c r="D1751" s="10"/>
      <c r="E1751" s="23"/>
      <c r="F1751" s="26"/>
    </row>
    <row r="1752">
      <c r="A1752" s="10"/>
      <c r="B1752" s="22"/>
      <c r="C1752" s="10"/>
      <c r="D1752" s="10"/>
      <c r="E1752" s="23"/>
      <c r="F1752" s="26"/>
    </row>
    <row r="1753">
      <c r="A1753" s="10"/>
      <c r="B1753" s="22"/>
      <c r="C1753" s="10"/>
      <c r="D1753" s="10"/>
      <c r="E1753" s="23"/>
      <c r="F1753" s="26"/>
    </row>
    <row r="1754">
      <c r="A1754" s="10"/>
      <c r="B1754" s="22"/>
      <c r="C1754" s="10"/>
      <c r="D1754" s="10"/>
      <c r="E1754" s="23"/>
      <c r="F1754" s="26"/>
    </row>
    <row r="1755">
      <c r="A1755" s="10"/>
      <c r="B1755" s="22"/>
      <c r="C1755" s="10"/>
      <c r="D1755" s="10"/>
      <c r="E1755" s="23"/>
      <c r="F1755" s="26"/>
    </row>
    <row r="1756">
      <c r="A1756" s="10"/>
      <c r="B1756" s="22"/>
      <c r="C1756" s="10"/>
      <c r="D1756" s="10"/>
      <c r="E1756" s="23"/>
      <c r="F1756" s="26"/>
    </row>
    <row r="1757">
      <c r="A1757" s="10"/>
      <c r="B1757" s="22"/>
      <c r="C1757" s="10"/>
      <c r="D1757" s="10"/>
      <c r="E1757" s="23"/>
      <c r="F1757" s="26"/>
    </row>
    <row r="1758">
      <c r="A1758" s="10"/>
      <c r="B1758" s="22"/>
      <c r="C1758" s="10"/>
      <c r="D1758" s="10"/>
      <c r="E1758" s="23"/>
      <c r="F1758" s="26"/>
    </row>
    <row r="1759">
      <c r="A1759" s="10"/>
      <c r="B1759" s="22"/>
      <c r="C1759" s="10"/>
      <c r="D1759" s="10"/>
      <c r="E1759" s="23"/>
      <c r="F1759" s="26"/>
    </row>
    <row r="1760">
      <c r="A1760" s="10"/>
      <c r="B1760" s="22"/>
      <c r="C1760" s="10"/>
      <c r="D1760" s="10"/>
      <c r="E1760" s="23"/>
      <c r="F1760" s="26"/>
    </row>
    <row r="1761">
      <c r="A1761" s="10"/>
      <c r="B1761" s="22"/>
      <c r="C1761" s="10"/>
      <c r="D1761" s="10"/>
      <c r="E1761" s="23"/>
      <c r="F1761" s="26"/>
    </row>
    <row r="1762">
      <c r="A1762" s="10"/>
      <c r="B1762" s="22"/>
      <c r="C1762" s="10"/>
      <c r="D1762" s="10"/>
      <c r="E1762" s="23"/>
      <c r="F1762" s="26"/>
    </row>
    <row r="1763">
      <c r="A1763" s="10"/>
      <c r="B1763" s="22"/>
      <c r="C1763" s="10"/>
      <c r="D1763" s="10"/>
      <c r="E1763" s="23"/>
      <c r="F1763" s="26"/>
    </row>
    <row r="1764">
      <c r="A1764" s="10"/>
      <c r="B1764" s="22"/>
      <c r="C1764" s="10"/>
      <c r="D1764" s="10"/>
      <c r="E1764" s="23"/>
      <c r="F1764" s="26"/>
    </row>
    <row r="1765">
      <c r="A1765" s="10"/>
      <c r="B1765" s="22"/>
      <c r="C1765" s="10"/>
      <c r="D1765" s="10"/>
      <c r="E1765" s="23"/>
      <c r="F1765" s="26"/>
    </row>
    <row r="1766">
      <c r="A1766" s="10"/>
      <c r="B1766" s="22"/>
      <c r="C1766" s="10"/>
      <c r="D1766" s="10"/>
      <c r="E1766" s="23"/>
      <c r="F1766" s="26"/>
    </row>
    <row r="1767">
      <c r="A1767" s="10"/>
      <c r="B1767" s="22"/>
      <c r="C1767" s="10"/>
      <c r="D1767" s="10"/>
      <c r="E1767" s="23"/>
      <c r="F1767" s="26"/>
    </row>
    <row r="1768">
      <c r="A1768" s="10"/>
      <c r="B1768" s="22"/>
      <c r="C1768" s="10"/>
      <c r="D1768" s="10"/>
      <c r="E1768" s="23"/>
      <c r="F1768" s="26"/>
    </row>
    <row r="1769">
      <c r="A1769" s="10"/>
      <c r="B1769" s="22"/>
      <c r="C1769" s="10"/>
      <c r="D1769" s="10"/>
      <c r="E1769" s="23"/>
      <c r="F1769" s="26"/>
    </row>
    <row r="1770">
      <c r="A1770" s="10"/>
      <c r="B1770" s="22"/>
      <c r="C1770" s="10"/>
      <c r="D1770" s="10"/>
      <c r="E1770" s="23"/>
      <c r="F1770" s="26"/>
    </row>
    <row r="1771">
      <c r="A1771" s="10"/>
      <c r="B1771" s="22"/>
      <c r="C1771" s="10"/>
      <c r="D1771" s="10"/>
      <c r="E1771" s="23"/>
      <c r="F1771" s="26"/>
    </row>
    <row r="1772">
      <c r="A1772" s="10"/>
      <c r="B1772" s="22"/>
      <c r="C1772" s="10"/>
      <c r="D1772" s="10"/>
      <c r="E1772" s="23"/>
      <c r="F1772" s="26"/>
    </row>
    <row r="1773">
      <c r="A1773" s="10"/>
      <c r="B1773" s="22"/>
      <c r="C1773" s="10"/>
      <c r="D1773" s="10"/>
      <c r="E1773" s="23"/>
      <c r="F1773" s="26"/>
    </row>
    <row r="1774">
      <c r="A1774" s="10"/>
      <c r="B1774" s="22"/>
      <c r="C1774" s="10"/>
      <c r="D1774" s="10"/>
      <c r="E1774" s="23"/>
      <c r="F1774" s="26"/>
    </row>
    <row r="1775">
      <c r="A1775" s="10"/>
      <c r="B1775" s="22"/>
      <c r="C1775" s="10"/>
      <c r="D1775" s="10"/>
      <c r="E1775" s="23"/>
      <c r="F1775" s="26"/>
    </row>
    <row r="1776">
      <c r="A1776" s="10"/>
      <c r="B1776" s="22"/>
      <c r="C1776" s="10"/>
      <c r="D1776" s="10"/>
      <c r="E1776" s="23"/>
      <c r="F1776" s="26"/>
    </row>
    <row r="1777">
      <c r="A1777" s="10"/>
      <c r="B1777" s="22"/>
      <c r="C1777" s="10"/>
      <c r="D1777" s="10"/>
      <c r="E1777" s="23"/>
      <c r="F1777" s="26"/>
    </row>
    <row r="1778">
      <c r="A1778" s="10"/>
      <c r="B1778" s="22"/>
      <c r="C1778" s="10"/>
      <c r="D1778" s="10"/>
      <c r="E1778" s="23"/>
      <c r="F1778" s="26"/>
    </row>
    <row r="1779">
      <c r="A1779" s="10"/>
      <c r="B1779" s="22"/>
      <c r="C1779" s="10"/>
      <c r="D1779" s="10"/>
      <c r="E1779" s="23"/>
      <c r="F1779" s="26"/>
    </row>
    <row r="1780">
      <c r="A1780" s="10"/>
      <c r="B1780" s="22"/>
      <c r="C1780" s="10"/>
      <c r="D1780" s="10"/>
      <c r="E1780" s="23"/>
      <c r="F1780" s="26"/>
    </row>
    <row r="1781">
      <c r="A1781" s="10"/>
      <c r="B1781" s="22"/>
      <c r="C1781" s="10"/>
      <c r="D1781" s="10"/>
      <c r="E1781" s="23"/>
      <c r="F1781" s="26"/>
    </row>
    <row r="1782">
      <c r="A1782" s="10"/>
      <c r="B1782" s="22"/>
      <c r="C1782" s="10"/>
      <c r="D1782" s="10"/>
      <c r="E1782" s="23"/>
      <c r="F1782" s="26"/>
    </row>
    <row r="1783">
      <c r="A1783" s="10"/>
      <c r="B1783" s="22"/>
      <c r="C1783" s="10"/>
      <c r="D1783" s="10"/>
      <c r="E1783" s="23"/>
      <c r="F1783" s="26"/>
    </row>
    <row r="1784">
      <c r="A1784" s="10"/>
      <c r="B1784" s="22"/>
      <c r="C1784" s="10"/>
      <c r="D1784" s="10"/>
      <c r="E1784" s="23"/>
      <c r="F1784" s="26"/>
    </row>
    <row r="1785">
      <c r="A1785" s="10"/>
      <c r="B1785" s="22"/>
      <c r="C1785" s="10"/>
      <c r="D1785" s="10"/>
      <c r="E1785" s="23"/>
      <c r="F1785" s="26"/>
    </row>
    <row r="1786">
      <c r="A1786" s="10"/>
      <c r="B1786" s="22"/>
      <c r="C1786" s="10"/>
      <c r="D1786" s="10"/>
      <c r="E1786" s="23"/>
      <c r="F1786" s="26"/>
    </row>
    <row r="1787">
      <c r="A1787" s="10"/>
      <c r="B1787" s="22"/>
      <c r="C1787" s="10"/>
      <c r="D1787" s="10"/>
      <c r="E1787" s="23"/>
      <c r="F1787" s="26"/>
    </row>
    <row r="1788">
      <c r="A1788" s="10"/>
      <c r="B1788" s="22"/>
      <c r="C1788" s="10"/>
      <c r="D1788" s="10"/>
      <c r="E1788" s="23"/>
      <c r="F1788" s="26"/>
    </row>
    <row r="1789">
      <c r="A1789" s="10"/>
      <c r="B1789" s="22"/>
      <c r="C1789" s="10"/>
      <c r="D1789" s="10"/>
      <c r="E1789" s="23"/>
      <c r="F1789" s="26"/>
    </row>
    <row r="1790">
      <c r="A1790" s="10"/>
      <c r="B1790" s="22"/>
      <c r="C1790" s="10"/>
      <c r="D1790" s="10"/>
      <c r="E1790" s="23"/>
      <c r="F1790" s="26"/>
    </row>
    <row r="1791">
      <c r="A1791" s="10"/>
      <c r="B1791" s="22"/>
      <c r="C1791" s="10"/>
      <c r="D1791" s="10"/>
      <c r="E1791" s="23"/>
      <c r="F1791" s="26"/>
    </row>
    <row r="1792">
      <c r="A1792" s="10"/>
      <c r="B1792" s="22"/>
      <c r="C1792" s="10"/>
      <c r="D1792" s="10"/>
      <c r="E1792" s="23"/>
      <c r="F1792" s="26"/>
    </row>
    <row r="1793">
      <c r="A1793" s="10"/>
      <c r="B1793" s="22"/>
      <c r="C1793" s="10"/>
      <c r="D1793" s="10"/>
      <c r="E1793" s="23"/>
      <c r="F1793" s="26"/>
    </row>
    <row r="1794">
      <c r="A1794" s="10"/>
      <c r="B1794" s="22"/>
      <c r="C1794" s="10"/>
      <c r="D1794" s="10"/>
      <c r="E1794" s="23"/>
      <c r="F1794" s="26"/>
    </row>
    <row r="1795">
      <c r="A1795" s="10"/>
      <c r="B1795" s="22"/>
      <c r="C1795" s="10"/>
      <c r="D1795" s="10"/>
      <c r="E1795" s="23"/>
      <c r="F1795" s="26"/>
    </row>
    <row r="1796">
      <c r="A1796" s="10"/>
      <c r="B1796" s="22"/>
      <c r="C1796" s="10"/>
      <c r="D1796" s="10"/>
      <c r="E1796" s="23"/>
      <c r="F1796" s="26"/>
    </row>
    <row r="1797">
      <c r="A1797" s="10"/>
      <c r="B1797" s="22"/>
      <c r="C1797" s="10"/>
      <c r="D1797" s="10"/>
      <c r="E1797" s="23"/>
      <c r="F1797" s="26"/>
    </row>
    <row r="1798">
      <c r="A1798" s="10"/>
      <c r="B1798" s="22"/>
      <c r="C1798" s="10"/>
      <c r="D1798" s="10"/>
      <c r="E1798" s="23"/>
      <c r="F1798" s="26"/>
    </row>
    <row r="1799">
      <c r="A1799" s="10"/>
      <c r="B1799" s="22"/>
      <c r="C1799" s="10"/>
      <c r="D1799" s="10"/>
      <c r="E1799" s="23"/>
      <c r="F1799" s="26"/>
    </row>
    <row r="1800">
      <c r="A1800" s="10"/>
      <c r="B1800" s="22"/>
      <c r="C1800" s="10"/>
      <c r="D1800" s="10"/>
      <c r="E1800" s="23"/>
      <c r="F1800" s="26"/>
    </row>
    <row r="1801">
      <c r="A1801" s="10"/>
      <c r="B1801" s="22"/>
      <c r="C1801" s="10"/>
      <c r="D1801" s="10"/>
      <c r="E1801" s="23"/>
      <c r="F1801" s="26"/>
    </row>
    <row r="1802">
      <c r="A1802" s="10"/>
      <c r="B1802" s="22"/>
      <c r="C1802" s="10"/>
      <c r="D1802" s="10"/>
      <c r="E1802" s="23"/>
      <c r="F1802" s="26"/>
    </row>
    <row r="1803">
      <c r="A1803" s="10"/>
      <c r="B1803" s="22"/>
      <c r="C1803" s="10"/>
      <c r="D1803" s="10"/>
      <c r="E1803" s="23"/>
      <c r="F1803" s="26"/>
    </row>
    <row r="1804">
      <c r="A1804" s="10"/>
      <c r="B1804" s="22"/>
      <c r="C1804" s="10"/>
      <c r="D1804" s="10"/>
      <c r="E1804" s="23"/>
      <c r="F1804" s="26"/>
    </row>
    <row r="1805">
      <c r="A1805" s="10"/>
      <c r="B1805" s="22"/>
      <c r="C1805" s="10"/>
      <c r="D1805" s="10"/>
      <c r="E1805" s="23"/>
      <c r="F1805" s="26"/>
    </row>
    <row r="1806">
      <c r="A1806" s="10"/>
      <c r="B1806" s="22"/>
      <c r="C1806" s="10"/>
      <c r="D1806" s="10"/>
      <c r="E1806" s="23"/>
      <c r="F1806" s="26"/>
    </row>
    <row r="1807">
      <c r="A1807" s="10"/>
      <c r="B1807" s="22"/>
      <c r="C1807" s="10"/>
      <c r="D1807" s="10"/>
      <c r="E1807" s="23"/>
      <c r="F1807" s="26"/>
    </row>
    <row r="1808">
      <c r="A1808" s="10"/>
      <c r="B1808" s="22"/>
      <c r="C1808" s="10"/>
      <c r="D1808" s="10"/>
      <c r="E1808" s="23"/>
      <c r="F1808" s="26"/>
    </row>
    <row r="1809">
      <c r="A1809" s="10"/>
      <c r="B1809" s="22"/>
      <c r="C1809" s="10"/>
      <c r="D1809" s="10"/>
      <c r="E1809" s="23"/>
      <c r="F1809" s="26"/>
    </row>
    <row r="1810">
      <c r="A1810" s="10"/>
      <c r="B1810" s="22"/>
      <c r="C1810" s="10"/>
      <c r="D1810" s="10"/>
      <c r="E1810" s="23"/>
      <c r="F1810" s="26"/>
    </row>
    <row r="1811">
      <c r="A1811" s="10"/>
      <c r="B1811" s="22"/>
      <c r="C1811" s="10"/>
      <c r="D1811" s="10"/>
      <c r="E1811" s="23"/>
      <c r="F1811" s="26"/>
    </row>
    <row r="1812">
      <c r="A1812" s="10"/>
      <c r="B1812" s="22"/>
      <c r="C1812" s="10"/>
      <c r="D1812" s="10"/>
      <c r="E1812" s="23"/>
      <c r="F1812" s="26"/>
    </row>
    <row r="1813">
      <c r="A1813" s="10"/>
      <c r="B1813" s="22"/>
      <c r="C1813" s="10"/>
      <c r="D1813" s="10"/>
      <c r="E1813" s="23"/>
      <c r="F1813" s="26"/>
    </row>
    <row r="1814">
      <c r="A1814" s="10"/>
      <c r="B1814" s="22"/>
      <c r="C1814" s="10"/>
      <c r="D1814" s="10"/>
      <c r="E1814" s="23"/>
      <c r="F1814" s="26"/>
    </row>
    <row r="1815">
      <c r="A1815" s="10"/>
      <c r="B1815" s="22"/>
      <c r="C1815" s="10"/>
      <c r="D1815" s="10"/>
      <c r="E1815" s="23"/>
      <c r="F1815" s="26"/>
    </row>
    <row r="1816">
      <c r="A1816" s="10"/>
      <c r="B1816" s="22"/>
      <c r="C1816" s="10"/>
      <c r="D1816" s="10"/>
      <c r="E1816" s="23"/>
      <c r="F1816" s="26"/>
    </row>
    <row r="1817">
      <c r="A1817" s="10"/>
      <c r="B1817" s="22"/>
      <c r="C1817" s="10"/>
      <c r="D1817" s="10"/>
      <c r="E1817" s="23"/>
      <c r="F1817" s="26"/>
    </row>
    <row r="1818">
      <c r="A1818" s="10"/>
      <c r="B1818" s="22"/>
      <c r="C1818" s="10"/>
      <c r="D1818" s="10"/>
      <c r="E1818" s="23"/>
      <c r="F1818" s="26"/>
    </row>
    <row r="1819">
      <c r="A1819" s="10"/>
      <c r="B1819" s="22"/>
      <c r="C1819" s="10"/>
      <c r="D1819" s="10"/>
      <c r="E1819" s="23"/>
      <c r="F1819" s="26"/>
    </row>
    <row r="1820">
      <c r="A1820" s="10"/>
      <c r="B1820" s="22"/>
      <c r="C1820" s="10"/>
      <c r="D1820" s="10"/>
      <c r="E1820" s="23"/>
      <c r="F1820" s="26"/>
    </row>
    <row r="1821">
      <c r="A1821" s="10"/>
      <c r="B1821" s="22"/>
      <c r="C1821" s="10"/>
      <c r="D1821" s="10"/>
      <c r="E1821" s="23"/>
      <c r="F1821" s="26"/>
    </row>
    <row r="1822">
      <c r="A1822" s="10"/>
      <c r="B1822" s="22"/>
      <c r="C1822" s="10"/>
      <c r="D1822" s="10"/>
      <c r="E1822" s="23"/>
      <c r="F1822" s="26"/>
    </row>
    <row r="1823">
      <c r="A1823" s="10"/>
      <c r="B1823" s="22"/>
      <c r="C1823" s="10"/>
      <c r="D1823" s="10"/>
      <c r="E1823" s="23"/>
      <c r="F1823" s="26"/>
    </row>
    <row r="1824">
      <c r="A1824" s="10"/>
      <c r="B1824" s="22"/>
      <c r="C1824" s="10"/>
      <c r="D1824" s="10"/>
      <c r="E1824" s="23"/>
      <c r="F1824" s="26"/>
    </row>
    <row r="1825">
      <c r="A1825" s="10"/>
      <c r="B1825" s="22"/>
      <c r="C1825" s="10"/>
      <c r="D1825" s="10"/>
      <c r="E1825" s="23"/>
      <c r="F1825" s="26"/>
    </row>
    <row r="1826">
      <c r="A1826" s="10"/>
      <c r="B1826" s="22"/>
      <c r="C1826" s="10"/>
      <c r="D1826" s="10"/>
      <c r="E1826" s="23"/>
      <c r="F1826" s="26"/>
    </row>
    <row r="1827">
      <c r="A1827" s="10"/>
      <c r="B1827" s="22"/>
      <c r="C1827" s="10"/>
      <c r="D1827" s="10"/>
      <c r="E1827" s="23"/>
      <c r="F1827" s="26"/>
    </row>
    <row r="1828">
      <c r="A1828" s="10"/>
      <c r="B1828" s="22"/>
      <c r="C1828" s="10"/>
      <c r="D1828" s="10"/>
      <c r="E1828" s="23"/>
      <c r="F1828" s="26"/>
    </row>
    <row r="1829">
      <c r="A1829" s="10"/>
      <c r="B1829" s="22"/>
      <c r="C1829" s="10"/>
      <c r="D1829" s="10"/>
      <c r="E1829" s="23"/>
      <c r="F1829" s="26"/>
    </row>
    <row r="1830">
      <c r="A1830" s="10"/>
      <c r="B1830" s="22"/>
      <c r="C1830" s="10"/>
      <c r="D1830" s="10"/>
      <c r="E1830" s="23"/>
      <c r="F1830" s="26"/>
    </row>
    <row r="1831">
      <c r="A1831" s="10"/>
      <c r="B1831" s="22"/>
      <c r="C1831" s="10"/>
      <c r="D1831" s="10"/>
      <c r="E1831" s="23"/>
      <c r="F1831" s="26"/>
    </row>
    <row r="1832">
      <c r="A1832" s="10"/>
      <c r="B1832" s="22"/>
      <c r="C1832" s="10"/>
      <c r="D1832" s="10"/>
      <c r="E1832" s="23"/>
      <c r="F1832" s="26"/>
    </row>
    <row r="1833">
      <c r="A1833" s="10"/>
      <c r="B1833" s="22"/>
      <c r="C1833" s="10"/>
      <c r="D1833" s="10"/>
      <c r="E1833" s="23"/>
      <c r="F1833" s="26"/>
    </row>
    <row r="1834">
      <c r="A1834" s="10"/>
      <c r="B1834" s="22"/>
      <c r="C1834" s="10"/>
      <c r="D1834" s="10"/>
      <c r="E1834" s="23"/>
      <c r="F1834" s="26"/>
    </row>
    <row r="1835">
      <c r="A1835" s="10"/>
      <c r="B1835" s="22"/>
      <c r="C1835" s="10"/>
      <c r="D1835" s="10"/>
      <c r="E1835" s="23"/>
      <c r="F1835" s="26"/>
    </row>
    <row r="1836">
      <c r="A1836" s="10"/>
      <c r="B1836" s="22"/>
      <c r="C1836" s="10"/>
      <c r="D1836" s="10"/>
      <c r="E1836" s="23"/>
      <c r="F1836" s="26"/>
    </row>
    <row r="1837">
      <c r="A1837" s="10"/>
      <c r="B1837" s="22"/>
      <c r="C1837" s="10"/>
      <c r="D1837" s="10"/>
      <c r="E1837" s="23"/>
      <c r="F1837" s="26"/>
    </row>
    <row r="1838">
      <c r="A1838" s="10"/>
      <c r="B1838" s="22"/>
      <c r="C1838" s="10"/>
      <c r="D1838" s="10"/>
      <c r="E1838" s="23"/>
      <c r="F1838" s="26"/>
    </row>
    <row r="1839">
      <c r="A1839" s="10"/>
      <c r="B1839" s="22"/>
      <c r="C1839" s="10"/>
      <c r="D1839" s="10"/>
      <c r="E1839" s="23"/>
      <c r="F1839" s="26"/>
    </row>
    <row r="1840">
      <c r="A1840" s="10"/>
      <c r="B1840" s="22"/>
      <c r="C1840" s="10"/>
      <c r="D1840" s="10"/>
      <c r="E1840" s="23"/>
      <c r="F1840" s="26"/>
    </row>
    <row r="1841">
      <c r="A1841" s="10"/>
      <c r="B1841" s="22"/>
      <c r="C1841" s="10"/>
      <c r="D1841" s="10"/>
      <c r="E1841" s="23"/>
      <c r="F1841" s="26"/>
    </row>
    <row r="1842">
      <c r="A1842" s="10"/>
      <c r="B1842" s="22"/>
      <c r="C1842" s="10"/>
      <c r="D1842" s="10"/>
      <c r="E1842" s="23"/>
      <c r="F1842" s="26"/>
    </row>
    <row r="1843">
      <c r="A1843" s="10"/>
      <c r="B1843" s="22"/>
      <c r="C1843" s="10"/>
      <c r="D1843" s="10"/>
      <c r="E1843" s="23"/>
      <c r="F1843" s="26"/>
    </row>
    <row r="1844">
      <c r="A1844" s="10"/>
      <c r="B1844" s="22"/>
      <c r="C1844" s="10"/>
      <c r="D1844" s="10"/>
      <c r="E1844" s="23"/>
      <c r="F1844" s="26"/>
    </row>
    <row r="1845">
      <c r="A1845" s="10"/>
      <c r="B1845" s="22"/>
      <c r="C1845" s="10"/>
      <c r="D1845" s="10"/>
      <c r="E1845" s="23"/>
      <c r="F1845" s="26"/>
    </row>
    <row r="1846">
      <c r="A1846" s="10"/>
      <c r="B1846" s="22"/>
      <c r="C1846" s="10"/>
      <c r="D1846" s="10"/>
      <c r="E1846" s="23"/>
      <c r="F1846" s="26"/>
    </row>
    <row r="1847">
      <c r="A1847" s="10"/>
      <c r="B1847" s="22"/>
      <c r="C1847" s="10"/>
      <c r="D1847" s="10"/>
      <c r="E1847" s="23"/>
      <c r="F1847" s="26"/>
    </row>
    <row r="1848">
      <c r="A1848" s="10"/>
      <c r="B1848" s="22"/>
      <c r="C1848" s="10"/>
      <c r="D1848" s="10"/>
      <c r="E1848" s="23"/>
      <c r="F1848" s="26"/>
    </row>
    <row r="1849">
      <c r="A1849" s="10"/>
      <c r="B1849" s="22"/>
      <c r="C1849" s="10"/>
      <c r="D1849" s="10"/>
      <c r="E1849" s="23"/>
      <c r="F1849" s="26"/>
    </row>
    <row r="1850">
      <c r="A1850" s="10"/>
      <c r="B1850" s="22"/>
      <c r="C1850" s="10"/>
      <c r="D1850" s="10"/>
      <c r="E1850" s="23"/>
      <c r="F1850" s="26"/>
    </row>
    <row r="1851">
      <c r="A1851" s="10"/>
      <c r="B1851" s="22"/>
      <c r="C1851" s="10"/>
      <c r="D1851" s="10"/>
      <c r="E1851" s="23"/>
      <c r="F1851" s="26"/>
    </row>
    <row r="1852">
      <c r="A1852" s="10"/>
      <c r="B1852" s="22"/>
      <c r="C1852" s="10"/>
      <c r="D1852" s="10"/>
      <c r="E1852" s="23"/>
      <c r="F1852" s="26"/>
    </row>
    <row r="1853">
      <c r="A1853" s="10"/>
      <c r="B1853" s="22"/>
      <c r="C1853" s="10"/>
      <c r="D1853" s="10"/>
      <c r="E1853" s="23"/>
      <c r="F1853" s="26"/>
    </row>
    <row r="1854">
      <c r="A1854" s="10"/>
      <c r="B1854" s="22"/>
      <c r="C1854" s="10"/>
      <c r="D1854" s="10"/>
      <c r="E1854" s="23"/>
      <c r="F1854" s="26"/>
    </row>
    <row r="1855">
      <c r="A1855" s="10"/>
      <c r="B1855" s="22"/>
      <c r="C1855" s="10"/>
      <c r="D1855" s="10"/>
      <c r="E1855" s="23"/>
      <c r="F1855" s="26"/>
    </row>
    <row r="1856">
      <c r="A1856" s="10"/>
      <c r="B1856" s="22"/>
      <c r="C1856" s="10"/>
      <c r="D1856" s="10"/>
      <c r="E1856" s="23"/>
      <c r="F1856" s="26"/>
    </row>
    <row r="1857">
      <c r="A1857" s="10"/>
      <c r="B1857" s="22"/>
      <c r="C1857" s="10"/>
      <c r="D1857" s="10"/>
      <c r="E1857" s="23"/>
      <c r="F1857" s="26"/>
    </row>
    <row r="1858">
      <c r="A1858" s="10"/>
      <c r="B1858" s="22"/>
      <c r="C1858" s="10"/>
      <c r="D1858" s="10"/>
      <c r="E1858" s="23"/>
      <c r="F1858" s="26"/>
    </row>
    <row r="1859">
      <c r="A1859" s="10"/>
      <c r="B1859" s="22"/>
      <c r="C1859" s="10"/>
      <c r="D1859" s="10"/>
      <c r="E1859" s="23"/>
      <c r="F1859" s="26"/>
    </row>
    <row r="1860">
      <c r="A1860" s="10"/>
      <c r="B1860" s="22"/>
      <c r="C1860" s="10"/>
      <c r="D1860" s="10"/>
      <c r="E1860" s="23"/>
      <c r="F1860" s="26"/>
    </row>
    <row r="1861">
      <c r="A1861" s="10"/>
      <c r="B1861" s="22"/>
      <c r="C1861" s="10"/>
      <c r="D1861" s="10"/>
      <c r="E1861" s="23"/>
      <c r="F1861" s="26"/>
    </row>
    <row r="1862">
      <c r="A1862" s="10"/>
      <c r="B1862" s="22"/>
      <c r="C1862" s="10"/>
      <c r="D1862" s="10"/>
      <c r="E1862" s="23"/>
      <c r="F1862" s="26"/>
    </row>
    <row r="1863">
      <c r="A1863" s="10"/>
      <c r="B1863" s="22"/>
      <c r="C1863" s="10"/>
      <c r="D1863" s="10"/>
      <c r="E1863" s="23"/>
      <c r="F1863" s="26"/>
    </row>
    <row r="1864">
      <c r="A1864" s="10"/>
      <c r="B1864" s="22"/>
      <c r="C1864" s="10"/>
      <c r="D1864" s="10"/>
      <c r="E1864" s="23"/>
      <c r="F1864" s="26"/>
    </row>
    <row r="1865">
      <c r="A1865" s="10"/>
      <c r="B1865" s="22"/>
      <c r="C1865" s="10"/>
      <c r="D1865" s="10"/>
      <c r="E1865" s="23"/>
      <c r="F1865" s="26"/>
    </row>
    <row r="1866">
      <c r="A1866" s="10"/>
      <c r="B1866" s="22"/>
      <c r="C1866" s="10"/>
      <c r="D1866" s="10"/>
      <c r="E1866" s="23"/>
      <c r="F1866" s="26"/>
    </row>
    <row r="1867">
      <c r="A1867" s="10"/>
      <c r="B1867" s="22"/>
      <c r="C1867" s="10"/>
      <c r="D1867" s="10"/>
      <c r="E1867" s="23"/>
      <c r="F1867" s="26"/>
    </row>
    <row r="1868">
      <c r="A1868" s="10"/>
      <c r="B1868" s="22"/>
      <c r="C1868" s="10"/>
      <c r="D1868" s="10"/>
      <c r="E1868" s="23"/>
      <c r="F1868" s="26"/>
    </row>
    <row r="1869">
      <c r="A1869" s="10"/>
      <c r="B1869" s="22"/>
      <c r="C1869" s="10"/>
      <c r="D1869" s="10"/>
      <c r="E1869" s="23"/>
      <c r="F1869" s="26"/>
    </row>
    <row r="1870">
      <c r="A1870" s="10"/>
      <c r="B1870" s="22"/>
      <c r="C1870" s="10"/>
      <c r="D1870" s="10"/>
      <c r="E1870" s="23"/>
      <c r="F1870" s="26"/>
    </row>
    <row r="1871">
      <c r="A1871" s="10"/>
      <c r="B1871" s="22"/>
      <c r="C1871" s="10"/>
      <c r="D1871" s="10"/>
      <c r="E1871" s="23"/>
      <c r="F1871" s="26"/>
    </row>
    <row r="1872">
      <c r="A1872" s="10"/>
      <c r="B1872" s="22"/>
      <c r="C1872" s="10"/>
      <c r="D1872" s="10"/>
      <c r="E1872" s="23"/>
      <c r="F1872" s="26"/>
    </row>
    <row r="1873">
      <c r="A1873" s="10"/>
      <c r="B1873" s="22"/>
      <c r="C1873" s="10"/>
      <c r="D1873" s="10"/>
      <c r="E1873" s="23"/>
      <c r="F1873" s="26"/>
    </row>
    <row r="1874">
      <c r="A1874" s="10"/>
      <c r="B1874" s="22"/>
      <c r="C1874" s="10"/>
      <c r="D1874" s="10"/>
      <c r="E1874" s="23"/>
      <c r="F1874" s="26"/>
    </row>
    <row r="1875">
      <c r="A1875" s="10"/>
      <c r="B1875" s="22"/>
      <c r="C1875" s="10"/>
      <c r="D1875" s="10"/>
      <c r="E1875" s="23"/>
      <c r="F1875" s="26"/>
    </row>
    <row r="1876">
      <c r="A1876" s="10"/>
      <c r="B1876" s="22"/>
      <c r="C1876" s="10"/>
      <c r="D1876" s="10"/>
      <c r="E1876" s="23"/>
      <c r="F1876" s="26"/>
    </row>
    <row r="1877">
      <c r="A1877" s="10"/>
      <c r="B1877" s="22"/>
      <c r="C1877" s="10"/>
      <c r="D1877" s="10"/>
      <c r="E1877" s="23"/>
      <c r="F1877" s="26"/>
    </row>
    <row r="1878">
      <c r="A1878" s="10"/>
      <c r="B1878" s="22"/>
      <c r="C1878" s="10"/>
      <c r="D1878" s="10"/>
      <c r="E1878" s="23"/>
      <c r="F1878" s="26"/>
    </row>
    <row r="1879">
      <c r="A1879" s="10"/>
      <c r="B1879" s="22"/>
      <c r="C1879" s="10"/>
      <c r="D1879" s="10"/>
      <c r="E1879" s="23"/>
      <c r="F1879" s="26"/>
    </row>
    <row r="1880">
      <c r="A1880" s="10"/>
      <c r="B1880" s="22"/>
      <c r="C1880" s="10"/>
      <c r="D1880" s="10"/>
      <c r="E1880" s="23"/>
      <c r="F1880" s="26"/>
    </row>
    <row r="1881">
      <c r="A1881" s="10"/>
      <c r="B1881" s="22"/>
      <c r="C1881" s="10"/>
      <c r="D1881" s="10"/>
      <c r="E1881" s="23"/>
      <c r="F1881" s="26"/>
    </row>
    <row r="1882">
      <c r="A1882" s="10"/>
      <c r="B1882" s="22"/>
      <c r="C1882" s="10"/>
      <c r="D1882" s="10"/>
      <c r="E1882" s="23"/>
      <c r="F1882" s="26"/>
    </row>
    <row r="1883">
      <c r="A1883" s="10"/>
      <c r="B1883" s="22"/>
      <c r="C1883" s="10"/>
      <c r="D1883" s="10"/>
      <c r="E1883" s="23"/>
      <c r="F1883" s="26"/>
    </row>
    <row r="1884">
      <c r="A1884" s="10"/>
      <c r="B1884" s="22"/>
      <c r="C1884" s="10"/>
      <c r="D1884" s="10"/>
      <c r="E1884" s="23"/>
      <c r="F1884" s="26"/>
    </row>
    <row r="1885">
      <c r="A1885" s="10"/>
      <c r="B1885" s="22"/>
      <c r="C1885" s="10"/>
      <c r="D1885" s="10"/>
      <c r="E1885" s="23"/>
      <c r="F1885" s="26"/>
    </row>
    <row r="1886">
      <c r="A1886" s="10"/>
      <c r="B1886" s="22"/>
      <c r="C1886" s="10"/>
      <c r="D1886" s="10"/>
      <c r="E1886" s="23"/>
      <c r="F1886" s="26"/>
    </row>
    <row r="1887">
      <c r="A1887" s="10"/>
      <c r="B1887" s="22"/>
      <c r="C1887" s="10"/>
      <c r="D1887" s="10"/>
      <c r="E1887" s="23"/>
      <c r="F1887" s="26"/>
    </row>
    <row r="1888">
      <c r="A1888" s="10"/>
      <c r="B1888" s="22"/>
      <c r="C1888" s="10"/>
      <c r="D1888" s="10"/>
      <c r="E1888" s="23"/>
      <c r="F1888" s="26"/>
    </row>
    <row r="1889">
      <c r="A1889" s="10"/>
      <c r="B1889" s="22"/>
      <c r="C1889" s="10"/>
      <c r="D1889" s="10"/>
      <c r="E1889" s="23"/>
      <c r="F1889" s="26"/>
    </row>
    <row r="1890">
      <c r="A1890" s="10"/>
      <c r="B1890" s="22"/>
      <c r="C1890" s="10"/>
      <c r="D1890" s="10"/>
      <c r="E1890" s="23"/>
      <c r="F1890" s="26"/>
    </row>
    <row r="1891">
      <c r="A1891" s="10"/>
      <c r="B1891" s="22"/>
      <c r="C1891" s="10"/>
      <c r="D1891" s="10"/>
      <c r="E1891" s="23"/>
      <c r="F1891" s="26"/>
    </row>
    <row r="1892">
      <c r="A1892" s="10"/>
      <c r="B1892" s="22"/>
      <c r="C1892" s="10"/>
      <c r="D1892" s="10"/>
      <c r="E1892" s="23"/>
      <c r="F1892" s="26"/>
    </row>
    <row r="1893">
      <c r="A1893" s="10"/>
      <c r="B1893" s="22"/>
      <c r="C1893" s="10"/>
      <c r="D1893" s="10"/>
      <c r="E1893" s="23"/>
      <c r="F1893" s="26"/>
    </row>
    <row r="1894">
      <c r="A1894" s="10"/>
      <c r="B1894" s="22"/>
      <c r="C1894" s="10"/>
      <c r="D1894" s="10"/>
      <c r="E1894" s="23"/>
      <c r="F1894" s="26"/>
    </row>
    <row r="1895">
      <c r="A1895" s="10"/>
      <c r="B1895" s="22"/>
      <c r="C1895" s="10"/>
      <c r="D1895" s="10"/>
      <c r="E1895" s="23"/>
      <c r="F1895" s="26"/>
    </row>
    <row r="1896">
      <c r="A1896" s="10"/>
      <c r="B1896" s="22"/>
      <c r="C1896" s="10"/>
      <c r="D1896" s="10"/>
      <c r="E1896" s="23"/>
      <c r="F1896" s="26"/>
    </row>
    <row r="1897">
      <c r="A1897" s="10"/>
      <c r="B1897" s="22"/>
      <c r="C1897" s="10"/>
      <c r="D1897" s="10"/>
      <c r="E1897" s="23"/>
      <c r="F1897" s="26"/>
    </row>
    <row r="1898">
      <c r="A1898" s="10"/>
      <c r="B1898" s="22"/>
      <c r="C1898" s="10"/>
      <c r="D1898" s="10"/>
      <c r="E1898" s="23"/>
      <c r="F1898" s="26"/>
    </row>
    <row r="1899">
      <c r="A1899" s="10"/>
      <c r="B1899" s="22"/>
      <c r="C1899" s="10"/>
      <c r="D1899" s="10"/>
      <c r="E1899" s="23"/>
      <c r="F1899" s="26"/>
    </row>
    <row r="1900">
      <c r="A1900" s="10"/>
      <c r="B1900" s="22"/>
      <c r="C1900" s="10"/>
      <c r="D1900" s="10"/>
      <c r="E1900" s="23"/>
      <c r="F1900" s="26"/>
    </row>
    <row r="1901">
      <c r="A1901" s="10"/>
      <c r="B1901" s="22"/>
      <c r="C1901" s="10"/>
      <c r="D1901" s="10"/>
      <c r="E1901" s="23"/>
      <c r="F1901" s="26"/>
    </row>
    <row r="1902">
      <c r="A1902" s="10"/>
      <c r="B1902" s="22"/>
      <c r="C1902" s="10"/>
      <c r="D1902" s="10"/>
      <c r="E1902" s="23"/>
      <c r="F1902" s="26"/>
    </row>
    <row r="1903">
      <c r="A1903" s="10"/>
      <c r="B1903" s="22"/>
      <c r="C1903" s="10"/>
      <c r="D1903" s="10"/>
      <c r="E1903" s="23"/>
      <c r="F1903" s="26"/>
    </row>
    <row r="1904">
      <c r="A1904" s="10"/>
      <c r="B1904" s="22"/>
      <c r="C1904" s="10"/>
      <c r="D1904" s="10"/>
      <c r="E1904" s="23"/>
      <c r="F1904" s="26"/>
    </row>
    <row r="1905">
      <c r="A1905" s="10"/>
      <c r="B1905" s="22"/>
      <c r="C1905" s="10"/>
      <c r="D1905" s="10"/>
      <c r="E1905" s="23"/>
      <c r="F1905" s="26"/>
    </row>
    <row r="1906">
      <c r="A1906" s="10"/>
      <c r="B1906" s="22"/>
      <c r="C1906" s="10"/>
      <c r="D1906" s="10"/>
      <c r="E1906" s="23"/>
      <c r="F1906" s="26"/>
    </row>
    <row r="1907">
      <c r="A1907" s="10"/>
      <c r="B1907" s="22"/>
      <c r="C1907" s="10"/>
      <c r="D1907" s="10"/>
      <c r="E1907" s="23"/>
      <c r="F1907" s="26"/>
    </row>
    <row r="1908">
      <c r="A1908" s="10"/>
      <c r="B1908" s="22"/>
      <c r="C1908" s="10"/>
      <c r="D1908" s="10"/>
      <c r="E1908" s="23"/>
      <c r="F1908" s="26"/>
    </row>
    <row r="1909">
      <c r="A1909" s="10"/>
      <c r="B1909" s="22"/>
      <c r="C1909" s="10"/>
      <c r="D1909" s="10"/>
      <c r="E1909" s="23"/>
      <c r="F1909" s="26"/>
    </row>
    <row r="1910">
      <c r="A1910" s="10"/>
      <c r="B1910" s="22"/>
      <c r="C1910" s="10"/>
      <c r="D1910" s="10"/>
      <c r="E1910" s="23"/>
      <c r="F1910" s="26"/>
    </row>
    <row r="1911">
      <c r="A1911" s="10"/>
      <c r="B1911" s="22"/>
      <c r="C1911" s="10"/>
      <c r="D1911" s="10"/>
      <c r="E1911" s="23"/>
      <c r="F1911" s="26"/>
    </row>
    <row r="1912">
      <c r="A1912" s="10"/>
      <c r="B1912" s="22"/>
      <c r="C1912" s="10"/>
      <c r="D1912" s="10"/>
      <c r="E1912" s="23"/>
      <c r="F1912" s="26"/>
    </row>
    <row r="1913">
      <c r="A1913" s="10"/>
      <c r="B1913" s="22"/>
      <c r="C1913" s="10"/>
      <c r="D1913" s="10"/>
      <c r="E1913" s="23"/>
      <c r="F1913" s="26"/>
    </row>
    <row r="1914">
      <c r="A1914" s="10"/>
      <c r="B1914" s="22"/>
      <c r="C1914" s="10"/>
      <c r="D1914" s="10"/>
      <c r="E1914" s="23"/>
      <c r="F1914" s="26"/>
    </row>
    <row r="1915">
      <c r="A1915" s="10"/>
      <c r="B1915" s="22"/>
      <c r="C1915" s="10"/>
      <c r="D1915" s="10"/>
      <c r="E1915" s="23"/>
      <c r="F1915" s="26"/>
    </row>
    <row r="1916">
      <c r="A1916" s="10"/>
      <c r="B1916" s="22"/>
      <c r="C1916" s="10"/>
      <c r="D1916" s="10"/>
      <c r="E1916" s="23"/>
      <c r="F1916" s="26"/>
    </row>
    <row r="1917">
      <c r="A1917" s="10"/>
      <c r="B1917" s="22"/>
      <c r="C1917" s="10"/>
      <c r="D1917" s="10"/>
      <c r="E1917" s="23"/>
      <c r="F1917" s="26"/>
    </row>
    <row r="1918">
      <c r="A1918" s="10"/>
      <c r="B1918" s="22"/>
      <c r="C1918" s="10"/>
      <c r="D1918" s="10"/>
      <c r="E1918" s="23"/>
      <c r="F1918" s="26"/>
    </row>
    <row r="1919">
      <c r="A1919" s="10"/>
      <c r="B1919" s="22"/>
      <c r="C1919" s="10"/>
      <c r="D1919" s="10"/>
      <c r="E1919" s="23"/>
      <c r="F1919" s="26"/>
    </row>
    <row r="1920">
      <c r="A1920" s="10"/>
      <c r="B1920" s="22"/>
      <c r="C1920" s="10"/>
      <c r="D1920" s="10"/>
      <c r="E1920" s="23"/>
      <c r="F1920" s="26"/>
    </row>
    <row r="1921">
      <c r="A1921" s="10"/>
      <c r="B1921" s="22"/>
      <c r="C1921" s="10"/>
      <c r="D1921" s="10"/>
      <c r="E1921" s="23"/>
      <c r="F1921" s="26"/>
    </row>
    <row r="1922">
      <c r="A1922" s="10"/>
      <c r="B1922" s="22"/>
      <c r="C1922" s="10"/>
      <c r="D1922" s="10"/>
      <c r="E1922" s="23"/>
      <c r="F1922" s="26"/>
    </row>
    <row r="1923">
      <c r="A1923" s="10"/>
      <c r="B1923" s="22"/>
      <c r="C1923" s="10"/>
      <c r="D1923" s="10"/>
      <c r="E1923" s="23"/>
      <c r="F1923" s="26"/>
    </row>
    <row r="1924">
      <c r="A1924" s="10"/>
      <c r="B1924" s="22"/>
      <c r="C1924" s="10"/>
      <c r="D1924" s="10"/>
      <c r="E1924" s="23"/>
      <c r="F1924" s="26"/>
    </row>
    <row r="1925">
      <c r="A1925" s="10"/>
      <c r="B1925" s="22"/>
      <c r="C1925" s="10"/>
      <c r="D1925" s="10"/>
      <c r="E1925" s="23"/>
      <c r="F1925" s="26"/>
    </row>
    <row r="1926">
      <c r="A1926" s="10"/>
      <c r="B1926" s="22"/>
      <c r="C1926" s="10"/>
      <c r="D1926" s="10"/>
      <c r="E1926" s="23"/>
      <c r="F1926" s="26"/>
    </row>
    <row r="1927">
      <c r="A1927" s="10"/>
      <c r="B1927" s="22"/>
      <c r="C1927" s="10"/>
      <c r="D1927" s="10"/>
      <c r="E1927" s="23"/>
      <c r="F1927" s="26"/>
    </row>
    <row r="1928">
      <c r="A1928" s="10"/>
      <c r="B1928" s="22"/>
      <c r="C1928" s="10"/>
      <c r="D1928" s="10"/>
      <c r="E1928" s="23"/>
      <c r="F1928" s="26"/>
    </row>
    <row r="1929">
      <c r="A1929" s="10"/>
      <c r="B1929" s="22"/>
      <c r="C1929" s="10"/>
      <c r="D1929" s="10"/>
      <c r="E1929" s="23"/>
      <c r="F1929" s="26"/>
    </row>
    <row r="1930">
      <c r="A1930" s="10"/>
      <c r="B1930" s="22"/>
      <c r="C1930" s="10"/>
      <c r="D1930" s="10"/>
      <c r="E1930" s="23"/>
      <c r="F1930" s="26"/>
    </row>
    <row r="1931">
      <c r="A1931" s="10"/>
      <c r="B1931" s="22"/>
      <c r="C1931" s="10"/>
      <c r="D1931" s="10"/>
      <c r="E1931" s="23"/>
      <c r="F1931" s="26"/>
    </row>
    <row r="1932">
      <c r="A1932" s="10"/>
      <c r="B1932" s="22"/>
      <c r="C1932" s="10"/>
      <c r="D1932" s="10"/>
      <c r="E1932" s="23"/>
      <c r="F1932" s="26"/>
    </row>
    <row r="1933">
      <c r="A1933" s="10"/>
      <c r="B1933" s="22"/>
      <c r="C1933" s="10"/>
      <c r="D1933" s="10"/>
      <c r="E1933" s="23"/>
      <c r="F1933" s="26"/>
    </row>
    <row r="1934">
      <c r="A1934" s="10"/>
      <c r="B1934" s="22"/>
      <c r="C1934" s="10"/>
      <c r="D1934" s="10"/>
      <c r="E1934" s="23"/>
      <c r="F1934" s="26"/>
    </row>
    <row r="1935">
      <c r="A1935" s="10"/>
      <c r="B1935" s="22"/>
      <c r="C1935" s="10"/>
      <c r="D1935" s="10"/>
      <c r="E1935" s="23"/>
      <c r="F1935" s="26"/>
    </row>
    <row r="1936">
      <c r="A1936" s="10"/>
      <c r="B1936" s="22"/>
      <c r="C1936" s="10"/>
      <c r="D1936" s="10"/>
      <c r="E1936" s="23"/>
      <c r="F1936" s="26"/>
    </row>
    <row r="1937">
      <c r="A1937" s="10"/>
      <c r="B1937" s="22"/>
      <c r="C1937" s="10"/>
      <c r="D1937" s="10"/>
      <c r="E1937" s="23"/>
      <c r="F1937" s="26"/>
    </row>
    <row r="1938">
      <c r="A1938" s="10"/>
      <c r="B1938" s="22"/>
      <c r="C1938" s="10"/>
      <c r="D1938" s="10"/>
      <c r="E1938" s="23"/>
      <c r="F1938" s="26"/>
    </row>
    <row r="1939">
      <c r="A1939" s="10"/>
      <c r="B1939" s="22"/>
      <c r="C1939" s="10"/>
      <c r="D1939" s="10"/>
      <c r="E1939" s="23"/>
      <c r="F1939" s="26"/>
    </row>
    <row r="1940">
      <c r="A1940" s="10"/>
      <c r="B1940" s="22"/>
      <c r="C1940" s="10"/>
      <c r="D1940" s="10"/>
      <c r="E1940" s="23"/>
      <c r="F1940" s="26"/>
    </row>
    <row r="1941">
      <c r="A1941" s="10"/>
      <c r="B1941" s="22"/>
      <c r="C1941" s="10"/>
      <c r="D1941" s="10"/>
      <c r="E1941" s="23"/>
      <c r="F1941" s="26"/>
    </row>
    <row r="1942">
      <c r="A1942" s="10"/>
      <c r="B1942" s="22"/>
      <c r="C1942" s="10"/>
      <c r="D1942" s="10"/>
      <c r="E1942" s="23"/>
      <c r="F1942" s="26"/>
    </row>
    <row r="1943">
      <c r="A1943" s="10"/>
      <c r="B1943" s="22"/>
      <c r="C1943" s="10"/>
      <c r="D1943" s="10"/>
      <c r="E1943" s="23"/>
      <c r="F1943" s="26"/>
    </row>
    <row r="1944">
      <c r="A1944" s="10"/>
      <c r="B1944" s="22"/>
      <c r="C1944" s="10"/>
      <c r="D1944" s="10"/>
      <c r="E1944" s="23"/>
      <c r="F1944" s="26"/>
    </row>
    <row r="1945">
      <c r="A1945" s="10"/>
      <c r="B1945" s="22"/>
      <c r="C1945" s="10"/>
      <c r="D1945" s="10"/>
      <c r="E1945" s="23"/>
      <c r="F1945" s="26"/>
    </row>
    <row r="1946">
      <c r="A1946" s="10"/>
      <c r="B1946" s="22"/>
      <c r="C1946" s="10"/>
      <c r="D1946" s="10"/>
      <c r="E1946" s="23"/>
      <c r="F1946" s="26"/>
    </row>
    <row r="1947">
      <c r="A1947" s="10"/>
      <c r="B1947" s="22"/>
      <c r="C1947" s="10"/>
      <c r="D1947" s="10"/>
      <c r="E1947" s="23"/>
      <c r="F1947" s="26"/>
    </row>
    <row r="1948">
      <c r="A1948" s="10"/>
      <c r="B1948" s="22"/>
      <c r="C1948" s="10"/>
      <c r="D1948" s="10"/>
      <c r="E1948" s="23"/>
      <c r="F1948" s="26"/>
    </row>
    <row r="1949">
      <c r="A1949" s="10"/>
      <c r="B1949" s="22"/>
      <c r="C1949" s="10"/>
      <c r="D1949" s="10"/>
      <c r="E1949" s="23"/>
      <c r="F1949" s="26"/>
    </row>
    <row r="1950">
      <c r="A1950" s="10"/>
      <c r="B1950" s="22"/>
      <c r="C1950" s="10"/>
      <c r="D1950" s="10"/>
      <c r="E1950" s="23"/>
      <c r="F1950" s="26"/>
    </row>
    <row r="1951">
      <c r="A1951" s="10"/>
      <c r="B1951" s="22"/>
      <c r="C1951" s="10"/>
      <c r="D1951" s="10"/>
      <c r="E1951" s="23"/>
      <c r="F1951" s="26"/>
    </row>
    <row r="1952">
      <c r="A1952" s="10"/>
      <c r="B1952" s="22"/>
      <c r="C1952" s="10"/>
      <c r="D1952" s="10"/>
      <c r="E1952" s="23"/>
      <c r="F1952" s="26"/>
    </row>
    <row r="1953">
      <c r="A1953" s="10"/>
      <c r="B1953" s="22"/>
      <c r="C1953" s="10"/>
      <c r="D1953" s="10"/>
      <c r="E1953" s="23"/>
      <c r="F1953" s="26"/>
    </row>
    <row r="1954">
      <c r="A1954" s="10"/>
      <c r="B1954" s="22"/>
      <c r="C1954" s="10"/>
      <c r="D1954" s="10"/>
      <c r="E1954" s="23"/>
      <c r="F1954" s="26"/>
    </row>
    <row r="1955">
      <c r="A1955" s="10"/>
      <c r="B1955" s="22"/>
      <c r="C1955" s="10"/>
      <c r="D1955" s="10"/>
      <c r="E1955" s="23"/>
      <c r="F1955" s="26"/>
    </row>
    <row r="1956">
      <c r="A1956" s="10"/>
      <c r="B1956" s="22"/>
      <c r="C1956" s="10"/>
      <c r="D1956" s="10"/>
      <c r="E1956" s="23"/>
      <c r="F1956" s="26"/>
    </row>
    <row r="1957">
      <c r="A1957" s="10"/>
      <c r="B1957" s="22"/>
      <c r="C1957" s="10"/>
      <c r="D1957" s="10"/>
      <c r="E1957" s="23"/>
      <c r="F1957" s="26"/>
    </row>
    <row r="1958">
      <c r="A1958" s="10"/>
      <c r="B1958" s="22"/>
      <c r="C1958" s="10"/>
      <c r="D1958" s="10"/>
      <c r="E1958" s="23"/>
      <c r="F1958" s="26"/>
    </row>
    <row r="1959">
      <c r="A1959" s="10"/>
      <c r="B1959" s="22"/>
      <c r="C1959" s="10"/>
      <c r="D1959" s="10"/>
      <c r="E1959" s="23"/>
      <c r="F1959" s="26"/>
    </row>
    <row r="1960">
      <c r="A1960" s="10"/>
      <c r="B1960" s="22"/>
      <c r="C1960" s="10"/>
      <c r="D1960" s="10"/>
      <c r="E1960" s="23"/>
      <c r="F1960" s="26"/>
    </row>
    <row r="1961">
      <c r="A1961" s="10"/>
      <c r="B1961" s="22"/>
      <c r="C1961" s="10"/>
      <c r="D1961" s="10"/>
      <c r="E1961" s="23"/>
      <c r="F1961" s="26"/>
    </row>
    <row r="1962">
      <c r="A1962" s="10"/>
      <c r="B1962" s="22"/>
      <c r="C1962" s="10"/>
      <c r="D1962" s="10"/>
      <c r="E1962" s="23"/>
      <c r="F1962" s="26"/>
    </row>
    <row r="1963">
      <c r="A1963" s="10"/>
      <c r="B1963" s="22"/>
      <c r="C1963" s="10"/>
      <c r="D1963" s="10"/>
      <c r="E1963" s="23"/>
      <c r="F1963" s="26"/>
    </row>
    <row r="1964">
      <c r="A1964" s="10"/>
      <c r="B1964" s="22"/>
      <c r="C1964" s="10"/>
      <c r="D1964" s="10"/>
      <c r="E1964" s="23"/>
      <c r="F1964" s="26"/>
    </row>
    <row r="1965">
      <c r="A1965" s="10"/>
      <c r="B1965" s="22"/>
      <c r="C1965" s="10"/>
      <c r="D1965" s="10"/>
      <c r="E1965" s="23"/>
      <c r="F1965" s="26"/>
    </row>
    <row r="1966">
      <c r="A1966" s="10"/>
      <c r="B1966" s="22"/>
      <c r="C1966" s="10"/>
      <c r="D1966" s="10"/>
      <c r="E1966" s="23"/>
      <c r="F1966" s="26"/>
    </row>
    <row r="1967">
      <c r="A1967" s="10"/>
      <c r="B1967" s="22"/>
      <c r="C1967" s="10"/>
      <c r="D1967" s="10"/>
      <c r="E1967" s="23"/>
      <c r="F1967" s="26"/>
    </row>
    <row r="1968">
      <c r="A1968" s="10"/>
      <c r="B1968" s="22"/>
      <c r="C1968" s="10"/>
      <c r="D1968" s="10"/>
      <c r="E1968" s="23"/>
      <c r="F1968" s="26"/>
    </row>
    <row r="1969">
      <c r="A1969" s="10"/>
      <c r="B1969" s="22"/>
      <c r="C1969" s="10"/>
      <c r="D1969" s="10"/>
      <c r="E1969" s="23"/>
      <c r="F1969" s="26"/>
    </row>
    <row r="1970">
      <c r="A1970" s="10"/>
      <c r="B1970" s="22"/>
      <c r="C1970" s="10"/>
      <c r="D1970" s="10"/>
      <c r="E1970" s="23"/>
      <c r="F1970" s="26"/>
    </row>
    <row r="1971">
      <c r="A1971" s="10"/>
      <c r="B1971" s="22"/>
      <c r="C1971" s="10"/>
      <c r="D1971" s="10"/>
      <c r="E1971" s="23"/>
      <c r="F1971" s="26"/>
    </row>
    <row r="1972">
      <c r="A1972" s="10"/>
      <c r="B1972" s="22"/>
      <c r="C1972" s="10"/>
      <c r="D1972" s="10"/>
      <c r="E1972" s="23"/>
      <c r="F1972" s="26"/>
    </row>
    <row r="1973">
      <c r="A1973" s="10"/>
      <c r="B1973" s="22"/>
      <c r="C1973" s="10"/>
      <c r="D1973" s="10"/>
      <c r="E1973" s="23"/>
      <c r="F1973" s="26"/>
    </row>
    <row r="1974">
      <c r="A1974" s="10"/>
      <c r="B1974" s="22"/>
      <c r="C1974" s="10"/>
      <c r="D1974" s="10"/>
      <c r="E1974" s="23"/>
      <c r="F1974" s="26"/>
    </row>
    <row r="1975">
      <c r="A1975" s="10"/>
      <c r="B1975" s="22"/>
      <c r="C1975" s="10"/>
      <c r="D1975" s="10"/>
      <c r="E1975" s="23"/>
      <c r="F1975" s="26"/>
    </row>
    <row r="1976">
      <c r="A1976" s="10"/>
      <c r="B1976" s="22"/>
      <c r="C1976" s="10"/>
      <c r="D1976" s="10"/>
      <c r="E1976" s="23"/>
      <c r="F1976" s="26"/>
    </row>
    <row r="1977">
      <c r="A1977" s="10"/>
      <c r="B1977" s="22"/>
      <c r="C1977" s="10"/>
      <c r="D1977" s="10"/>
      <c r="E1977" s="23"/>
      <c r="F1977" s="26"/>
    </row>
    <row r="1978">
      <c r="A1978" s="10"/>
      <c r="B1978" s="22"/>
      <c r="C1978" s="10"/>
      <c r="D1978" s="10"/>
      <c r="E1978" s="23"/>
      <c r="F1978" s="26"/>
    </row>
    <row r="1979">
      <c r="A1979" s="10"/>
      <c r="B1979" s="22"/>
      <c r="C1979" s="10"/>
      <c r="D1979" s="10"/>
      <c r="E1979" s="23"/>
      <c r="F1979" s="26"/>
    </row>
    <row r="1980">
      <c r="A1980" s="10"/>
      <c r="B1980" s="22"/>
      <c r="C1980" s="10"/>
      <c r="D1980" s="10"/>
      <c r="E1980" s="23"/>
      <c r="F1980" s="26"/>
    </row>
    <row r="1981">
      <c r="A1981" s="10"/>
      <c r="B1981" s="22"/>
      <c r="C1981" s="10"/>
      <c r="D1981" s="10"/>
      <c r="E1981" s="23"/>
      <c r="F1981" s="26"/>
    </row>
    <row r="1982">
      <c r="A1982" s="10"/>
      <c r="B1982" s="22"/>
      <c r="C1982" s="10"/>
      <c r="D1982" s="10"/>
      <c r="E1982" s="23"/>
      <c r="F1982" s="26"/>
    </row>
    <row r="1983">
      <c r="A1983" s="10"/>
      <c r="B1983" s="22"/>
      <c r="C1983" s="10"/>
      <c r="D1983" s="10"/>
      <c r="E1983" s="23"/>
      <c r="F1983" s="26"/>
    </row>
    <row r="1984">
      <c r="A1984" s="10"/>
      <c r="B1984" s="22"/>
      <c r="C1984" s="10"/>
      <c r="D1984" s="10"/>
      <c r="E1984" s="23"/>
      <c r="F1984" s="26"/>
    </row>
    <row r="1985">
      <c r="A1985" s="10"/>
      <c r="B1985" s="22"/>
      <c r="C1985" s="10"/>
      <c r="D1985" s="10"/>
      <c r="E1985" s="23"/>
      <c r="F1985" s="26"/>
    </row>
    <row r="1986">
      <c r="A1986" s="10"/>
      <c r="B1986" s="22"/>
      <c r="C1986" s="10"/>
      <c r="D1986" s="10"/>
      <c r="E1986" s="23"/>
      <c r="F1986" s="26"/>
    </row>
    <row r="1987">
      <c r="A1987" s="10"/>
      <c r="B1987" s="22"/>
      <c r="C1987" s="10"/>
      <c r="D1987" s="10"/>
      <c r="E1987" s="23"/>
      <c r="F1987" s="26"/>
    </row>
    <row r="1988">
      <c r="A1988" s="10"/>
      <c r="B1988" s="22"/>
      <c r="C1988" s="10"/>
      <c r="D1988" s="10"/>
      <c r="E1988" s="23"/>
      <c r="F1988" s="26"/>
    </row>
    <row r="1989">
      <c r="A1989" s="10"/>
      <c r="B1989" s="22"/>
      <c r="C1989" s="10"/>
      <c r="D1989" s="10"/>
      <c r="E1989" s="23"/>
      <c r="F1989" s="26"/>
    </row>
    <row r="1990">
      <c r="A1990" s="10"/>
      <c r="B1990" s="22"/>
      <c r="C1990" s="10"/>
      <c r="D1990" s="10"/>
      <c r="E1990" s="23"/>
      <c r="F1990" s="26"/>
    </row>
    <row r="1991">
      <c r="A1991" s="10"/>
      <c r="B1991" s="22"/>
      <c r="C1991" s="10"/>
      <c r="D1991" s="10"/>
      <c r="E1991" s="23"/>
      <c r="F1991" s="26"/>
    </row>
    <row r="1992">
      <c r="A1992" s="10"/>
      <c r="B1992" s="22"/>
      <c r="C1992" s="10"/>
      <c r="D1992" s="10"/>
      <c r="E1992" s="23"/>
      <c r="F1992" s="26"/>
    </row>
    <row r="1993">
      <c r="A1993" s="10"/>
      <c r="B1993" s="22"/>
      <c r="C1993" s="10"/>
      <c r="D1993" s="10"/>
      <c r="E1993" s="23"/>
      <c r="F1993" s="26"/>
    </row>
    <row r="1994">
      <c r="A1994" s="10"/>
      <c r="B1994" s="22"/>
      <c r="C1994" s="10"/>
      <c r="D1994" s="10"/>
      <c r="E1994" s="23"/>
      <c r="F1994" s="26"/>
    </row>
    <row r="1995">
      <c r="A1995" s="10"/>
      <c r="B1995" s="22"/>
      <c r="C1995" s="10"/>
      <c r="D1995" s="10"/>
      <c r="E1995" s="23"/>
      <c r="F1995" s="26"/>
    </row>
    <row r="1996">
      <c r="A1996" s="10"/>
      <c r="B1996" s="22"/>
      <c r="C1996" s="10"/>
      <c r="D1996" s="10"/>
      <c r="E1996" s="23"/>
      <c r="F1996" s="26"/>
    </row>
    <row r="1997">
      <c r="A1997" s="10"/>
      <c r="B1997" s="22"/>
      <c r="C1997" s="10"/>
      <c r="D1997" s="10"/>
      <c r="E1997" s="23"/>
      <c r="F1997" s="26"/>
    </row>
    <row r="1998">
      <c r="A1998" s="10"/>
      <c r="B1998" s="22"/>
      <c r="C1998" s="10"/>
      <c r="D1998" s="10"/>
      <c r="E1998" s="23"/>
      <c r="F1998" s="26"/>
    </row>
    <row r="1999">
      <c r="A1999" s="10"/>
      <c r="B1999" s="22"/>
      <c r="C1999" s="10"/>
      <c r="D1999" s="10"/>
      <c r="E1999" s="23"/>
      <c r="F1999" s="26"/>
    </row>
    <row r="2000">
      <c r="A2000" s="10"/>
      <c r="B2000" s="22"/>
      <c r="C2000" s="10"/>
      <c r="D2000" s="10"/>
      <c r="E2000" s="23"/>
      <c r="F2000" s="26"/>
    </row>
    <row r="2001">
      <c r="A2001" s="10"/>
      <c r="B2001" s="22"/>
      <c r="C2001" s="10"/>
      <c r="D2001" s="10"/>
      <c r="E2001" s="23"/>
      <c r="F2001" s="26"/>
    </row>
    <row r="2002">
      <c r="A2002" s="10"/>
      <c r="B2002" s="22"/>
      <c r="C2002" s="10"/>
      <c r="D2002" s="10"/>
      <c r="E2002" s="23"/>
      <c r="F2002" s="26"/>
    </row>
    <row r="2003">
      <c r="A2003" s="10"/>
      <c r="B2003" s="22"/>
      <c r="C2003" s="10"/>
      <c r="D2003" s="10"/>
      <c r="E2003" s="23"/>
      <c r="F2003" s="26"/>
    </row>
    <row r="2004">
      <c r="A2004" s="10"/>
      <c r="B2004" s="22"/>
      <c r="C2004" s="10"/>
      <c r="D2004" s="10"/>
      <c r="E2004" s="23"/>
      <c r="F2004" s="26"/>
    </row>
    <row r="2005">
      <c r="A2005" s="10"/>
      <c r="B2005" s="22"/>
      <c r="C2005" s="10"/>
      <c r="D2005" s="10"/>
      <c r="E2005" s="23"/>
      <c r="F2005" s="26"/>
    </row>
    <row r="2006">
      <c r="A2006" s="10"/>
      <c r="B2006" s="22"/>
      <c r="C2006" s="10"/>
      <c r="D2006" s="10"/>
      <c r="E2006" s="23"/>
      <c r="F2006" s="26"/>
    </row>
    <row r="2007">
      <c r="A2007" s="10"/>
      <c r="B2007" s="22"/>
      <c r="C2007" s="10"/>
      <c r="D2007" s="10"/>
      <c r="E2007" s="23"/>
      <c r="F2007" s="26"/>
    </row>
    <row r="2008">
      <c r="A2008" s="10"/>
      <c r="B2008" s="22"/>
      <c r="C2008" s="10"/>
      <c r="D2008" s="10"/>
      <c r="E2008" s="23"/>
      <c r="F2008" s="26"/>
    </row>
    <row r="2009">
      <c r="A2009" s="10"/>
      <c r="B2009" s="22"/>
      <c r="C2009" s="10"/>
      <c r="D2009" s="10"/>
      <c r="E2009" s="23"/>
      <c r="F2009" s="26"/>
    </row>
    <row r="2010">
      <c r="A2010" s="10"/>
      <c r="B2010" s="22"/>
      <c r="C2010" s="10"/>
      <c r="D2010" s="10"/>
      <c r="E2010" s="23"/>
      <c r="F2010" s="26"/>
    </row>
    <row r="2011">
      <c r="A2011" s="10"/>
      <c r="B2011" s="22"/>
      <c r="C2011" s="10"/>
      <c r="D2011" s="10"/>
      <c r="E2011" s="23"/>
      <c r="F2011" s="26"/>
    </row>
    <row r="2012">
      <c r="A2012" s="10"/>
      <c r="B2012" s="22"/>
      <c r="C2012" s="10"/>
      <c r="D2012" s="10"/>
      <c r="E2012" s="23"/>
      <c r="F2012" s="26"/>
    </row>
    <row r="2013">
      <c r="A2013" s="10"/>
      <c r="B2013" s="22"/>
      <c r="C2013" s="10"/>
      <c r="D2013" s="10"/>
      <c r="E2013" s="23"/>
      <c r="F2013" s="26"/>
    </row>
    <row r="2014">
      <c r="A2014" s="10"/>
      <c r="B2014" s="22"/>
      <c r="C2014" s="10"/>
      <c r="D2014" s="10"/>
      <c r="E2014" s="23"/>
      <c r="F2014" s="26"/>
    </row>
    <row r="2015">
      <c r="A2015" s="10"/>
      <c r="B2015" s="22"/>
      <c r="C2015" s="10"/>
      <c r="D2015" s="10"/>
      <c r="E2015" s="23"/>
      <c r="F2015" s="26"/>
    </row>
    <row r="2016">
      <c r="A2016" s="10"/>
      <c r="B2016" s="22"/>
      <c r="C2016" s="10"/>
      <c r="D2016" s="10"/>
      <c r="E2016" s="23"/>
      <c r="F2016" s="26"/>
    </row>
    <row r="2017">
      <c r="A2017" s="10"/>
      <c r="B2017" s="22"/>
      <c r="C2017" s="10"/>
      <c r="D2017" s="10"/>
      <c r="E2017" s="23"/>
      <c r="F2017" s="26"/>
    </row>
    <row r="2018">
      <c r="A2018" s="10"/>
      <c r="B2018" s="22"/>
      <c r="C2018" s="10"/>
      <c r="D2018" s="10"/>
      <c r="E2018" s="23"/>
      <c r="F2018" s="26"/>
    </row>
    <row r="2019">
      <c r="A2019" s="10"/>
      <c r="B2019" s="22"/>
      <c r="C2019" s="10"/>
      <c r="D2019" s="10"/>
      <c r="E2019" s="23"/>
      <c r="F2019" s="26"/>
    </row>
    <row r="2020">
      <c r="A2020" s="10"/>
      <c r="B2020" s="22"/>
      <c r="C2020" s="10"/>
      <c r="D2020" s="10"/>
      <c r="E2020" s="23"/>
      <c r="F2020" s="26"/>
    </row>
    <row r="2021">
      <c r="A2021" s="10"/>
      <c r="B2021" s="22"/>
      <c r="C2021" s="10"/>
      <c r="D2021" s="10"/>
      <c r="E2021" s="23"/>
      <c r="F2021" s="26"/>
    </row>
    <row r="2022">
      <c r="A2022" s="10"/>
      <c r="B2022" s="22"/>
      <c r="C2022" s="10"/>
      <c r="D2022" s="10"/>
      <c r="E2022" s="23"/>
      <c r="F2022" s="26"/>
    </row>
    <row r="2023">
      <c r="A2023" s="10"/>
      <c r="B2023" s="22"/>
      <c r="C2023" s="10"/>
      <c r="D2023" s="10"/>
      <c r="E2023" s="23"/>
      <c r="F2023" s="26"/>
    </row>
    <row r="2024">
      <c r="A2024" s="10"/>
      <c r="B2024" s="22"/>
      <c r="C2024" s="10"/>
      <c r="D2024" s="10"/>
      <c r="E2024" s="23"/>
      <c r="F2024" s="26"/>
    </row>
    <row r="2025">
      <c r="A2025" s="10"/>
      <c r="B2025" s="22"/>
      <c r="C2025" s="10"/>
      <c r="D2025" s="10"/>
      <c r="E2025" s="23"/>
      <c r="F2025" s="26"/>
    </row>
    <row r="2026">
      <c r="A2026" s="10"/>
      <c r="B2026" s="22"/>
      <c r="C2026" s="10"/>
      <c r="D2026" s="10"/>
      <c r="E2026" s="23"/>
      <c r="F2026" s="26"/>
    </row>
    <row r="2027">
      <c r="A2027" s="10"/>
      <c r="B2027" s="22"/>
      <c r="C2027" s="10"/>
      <c r="D2027" s="10"/>
      <c r="E2027" s="23"/>
      <c r="F2027" s="26"/>
    </row>
    <row r="2028">
      <c r="A2028" s="10"/>
      <c r="B2028" s="22"/>
      <c r="C2028" s="10"/>
      <c r="D2028" s="10"/>
      <c r="E2028" s="23"/>
      <c r="F2028" s="26"/>
    </row>
    <row r="2029">
      <c r="A2029" s="10"/>
      <c r="B2029" s="22"/>
      <c r="C2029" s="10"/>
      <c r="D2029" s="10"/>
      <c r="E2029" s="23"/>
      <c r="F2029" s="26"/>
    </row>
    <row r="2030">
      <c r="A2030" s="10"/>
      <c r="B2030" s="22"/>
      <c r="C2030" s="10"/>
      <c r="D2030" s="10"/>
      <c r="E2030" s="23"/>
      <c r="F2030" s="26"/>
    </row>
    <row r="2031">
      <c r="A2031" s="10"/>
      <c r="B2031" s="22"/>
      <c r="C2031" s="10"/>
      <c r="D2031" s="10"/>
      <c r="E2031" s="23"/>
      <c r="F2031" s="26"/>
    </row>
    <row r="2032">
      <c r="A2032" s="10"/>
      <c r="B2032" s="22"/>
      <c r="C2032" s="10"/>
      <c r="D2032" s="10"/>
      <c r="E2032" s="23"/>
      <c r="F2032" s="26"/>
    </row>
    <row r="2033">
      <c r="A2033" s="10"/>
      <c r="B2033" s="22"/>
      <c r="C2033" s="10"/>
      <c r="D2033" s="10"/>
      <c r="E2033" s="23"/>
      <c r="F2033" s="26"/>
    </row>
    <row r="2034">
      <c r="A2034" s="10"/>
      <c r="B2034" s="22"/>
      <c r="C2034" s="10"/>
      <c r="D2034" s="10"/>
      <c r="E2034" s="23"/>
      <c r="F2034" s="26"/>
    </row>
    <row r="2035">
      <c r="A2035" s="10"/>
      <c r="B2035" s="22"/>
      <c r="C2035" s="10"/>
      <c r="D2035" s="10"/>
      <c r="E2035" s="23"/>
      <c r="F2035" s="26"/>
    </row>
    <row r="2036">
      <c r="A2036" s="10"/>
      <c r="B2036" s="22"/>
      <c r="C2036" s="10"/>
      <c r="D2036" s="10"/>
      <c r="E2036" s="23"/>
      <c r="F2036" s="26"/>
    </row>
    <row r="2037">
      <c r="A2037" s="10"/>
      <c r="B2037" s="22"/>
      <c r="C2037" s="10"/>
      <c r="D2037" s="10"/>
      <c r="E2037" s="23"/>
      <c r="F2037" s="26"/>
    </row>
    <row r="2038">
      <c r="A2038" s="10"/>
      <c r="B2038" s="22"/>
      <c r="C2038" s="10"/>
      <c r="D2038" s="10"/>
      <c r="E2038" s="23"/>
      <c r="F2038" s="26"/>
    </row>
    <row r="2039">
      <c r="A2039" s="10"/>
      <c r="B2039" s="22"/>
      <c r="C2039" s="10"/>
      <c r="D2039" s="10"/>
      <c r="E2039" s="23"/>
      <c r="F2039" s="26"/>
    </row>
    <row r="2040">
      <c r="A2040" s="10"/>
      <c r="B2040" s="22"/>
      <c r="C2040" s="10"/>
      <c r="D2040" s="10"/>
      <c r="E2040" s="23"/>
      <c r="F2040" s="26"/>
    </row>
    <row r="2041">
      <c r="A2041" s="10"/>
      <c r="B2041" s="22"/>
      <c r="C2041" s="10"/>
      <c r="D2041" s="10"/>
      <c r="E2041" s="23"/>
      <c r="F2041" s="26"/>
    </row>
    <row r="2042">
      <c r="A2042" s="10"/>
      <c r="B2042" s="22"/>
      <c r="C2042" s="10"/>
      <c r="D2042" s="10"/>
      <c r="E2042" s="23"/>
      <c r="F2042" s="26"/>
    </row>
    <row r="2043">
      <c r="A2043" s="10"/>
      <c r="B2043" s="22"/>
      <c r="C2043" s="10"/>
      <c r="D2043" s="10"/>
      <c r="E2043" s="23"/>
      <c r="F2043" s="26"/>
    </row>
    <row r="2044">
      <c r="A2044" s="10"/>
      <c r="B2044" s="22"/>
      <c r="C2044" s="10"/>
      <c r="D2044" s="10"/>
      <c r="E2044" s="23"/>
      <c r="F2044" s="26"/>
    </row>
    <row r="2045">
      <c r="A2045" s="10"/>
      <c r="B2045" s="22"/>
      <c r="C2045" s="10"/>
      <c r="D2045" s="10"/>
      <c r="E2045" s="23"/>
      <c r="F2045" s="26"/>
    </row>
    <row r="2046">
      <c r="A2046" s="10"/>
      <c r="B2046" s="22"/>
      <c r="C2046" s="10"/>
      <c r="D2046" s="10"/>
      <c r="E2046" s="23"/>
      <c r="F2046" s="26"/>
    </row>
    <row r="2047">
      <c r="A2047" s="10"/>
      <c r="B2047" s="22"/>
      <c r="C2047" s="10"/>
      <c r="D2047" s="10"/>
      <c r="E2047" s="23"/>
      <c r="F2047" s="26"/>
    </row>
    <row r="2048">
      <c r="A2048" s="10"/>
      <c r="B2048" s="22"/>
      <c r="C2048" s="10"/>
      <c r="D2048" s="10"/>
      <c r="E2048" s="23"/>
      <c r="F2048" s="26"/>
    </row>
    <row r="2049">
      <c r="A2049" s="10"/>
      <c r="B2049" s="22"/>
      <c r="C2049" s="10"/>
      <c r="D2049" s="10"/>
      <c r="E2049" s="23"/>
      <c r="F2049" s="26"/>
    </row>
    <row r="2050">
      <c r="A2050" s="10"/>
      <c r="B2050" s="22"/>
      <c r="C2050" s="10"/>
      <c r="D2050" s="10"/>
      <c r="E2050" s="23"/>
      <c r="F2050" s="26"/>
    </row>
    <row r="2051">
      <c r="A2051" s="10"/>
      <c r="B2051" s="22"/>
      <c r="C2051" s="10"/>
      <c r="D2051" s="10"/>
      <c r="E2051" s="23"/>
      <c r="F2051" s="26"/>
    </row>
    <row r="2052">
      <c r="A2052" s="10"/>
      <c r="B2052" s="22"/>
      <c r="C2052" s="10"/>
      <c r="D2052" s="10"/>
      <c r="E2052" s="23"/>
      <c r="F2052" s="26"/>
    </row>
    <row r="2053">
      <c r="A2053" s="10"/>
      <c r="B2053" s="22"/>
      <c r="C2053" s="10"/>
      <c r="D2053" s="10"/>
      <c r="E2053" s="23"/>
      <c r="F2053" s="26"/>
    </row>
    <row r="2054">
      <c r="A2054" s="10"/>
      <c r="B2054" s="22"/>
      <c r="C2054" s="10"/>
      <c r="D2054" s="10"/>
      <c r="E2054" s="23"/>
      <c r="F2054" s="26"/>
    </row>
    <row r="2055">
      <c r="A2055" s="10"/>
      <c r="B2055" s="22"/>
      <c r="C2055" s="10"/>
      <c r="D2055" s="10"/>
      <c r="E2055" s="23"/>
      <c r="F2055" s="26"/>
    </row>
    <row r="2056">
      <c r="A2056" s="10"/>
      <c r="B2056" s="22"/>
      <c r="C2056" s="10"/>
      <c r="D2056" s="10"/>
      <c r="E2056" s="23"/>
      <c r="F2056" s="26"/>
    </row>
    <row r="2057">
      <c r="A2057" s="10"/>
      <c r="B2057" s="22"/>
      <c r="C2057" s="10"/>
      <c r="D2057" s="10"/>
      <c r="E2057" s="23"/>
      <c r="F2057" s="26"/>
    </row>
    <row r="2058">
      <c r="A2058" s="10"/>
      <c r="B2058" s="22"/>
      <c r="C2058" s="10"/>
      <c r="D2058" s="10"/>
      <c r="E2058" s="23"/>
      <c r="F2058" s="26"/>
    </row>
    <row r="2059">
      <c r="A2059" s="10"/>
      <c r="B2059" s="22"/>
      <c r="C2059" s="10"/>
      <c r="D2059" s="10"/>
      <c r="E2059" s="23"/>
      <c r="F2059" s="26"/>
    </row>
    <row r="2060">
      <c r="A2060" s="10"/>
      <c r="B2060" s="22"/>
      <c r="C2060" s="10"/>
      <c r="D2060" s="10"/>
      <c r="E2060" s="23"/>
      <c r="F2060" s="26"/>
    </row>
    <row r="2061">
      <c r="A2061" s="10"/>
      <c r="B2061" s="22"/>
      <c r="C2061" s="10"/>
      <c r="D2061" s="10"/>
      <c r="E2061" s="23"/>
      <c r="F2061" s="26"/>
    </row>
    <row r="2062">
      <c r="A2062" s="10"/>
      <c r="B2062" s="22"/>
      <c r="C2062" s="10"/>
      <c r="D2062" s="10"/>
      <c r="E2062" s="23"/>
      <c r="F2062" s="26"/>
    </row>
    <row r="2063">
      <c r="A2063" s="10"/>
      <c r="B2063" s="22"/>
      <c r="C2063" s="10"/>
      <c r="D2063" s="10"/>
      <c r="E2063" s="23"/>
      <c r="F2063" s="26"/>
    </row>
    <row r="2064">
      <c r="A2064" s="10"/>
      <c r="B2064" s="22"/>
      <c r="C2064" s="10"/>
      <c r="D2064" s="10"/>
      <c r="E2064" s="23"/>
      <c r="F2064" s="26"/>
    </row>
    <row r="2065">
      <c r="A2065" s="10"/>
      <c r="B2065" s="22"/>
      <c r="C2065" s="10"/>
      <c r="D2065" s="10"/>
      <c r="E2065" s="23"/>
      <c r="F2065" s="26"/>
    </row>
    <row r="2066">
      <c r="A2066" s="10"/>
      <c r="B2066" s="22"/>
      <c r="C2066" s="10"/>
      <c r="D2066" s="10"/>
      <c r="E2066" s="23"/>
      <c r="F2066" s="26"/>
    </row>
    <row r="2067">
      <c r="A2067" s="10"/>
      <c r="B2067" s="22"/>
      <c r="C2067" s="10"/>
      <c r="D2067" s="10"/>
      <c r="E2067" s="23"/>
      <c r="F2067" s="26"/>
    </row>
    <row r="2068">
      <c r="A2068" s="10"/>
      <c r="B2068" s="22"/>
      <c r="C2068" s="10"/>
      <c r="D2068" s="10"/>
      <c r="E2068" s="23"/>
      <c r="F2068" s="26"/>
    </row>
    <row r="2069">
      <c r="A2069" s="10"/>
      <c r="B2069" s="22"/>
      <c r="C2069" s="10"/>
      <c r="D2069" s="10"/>
      <c r="E2069" s="23"/>
      <c r="F2069" s="26"/>
    </row>
    <row r="2070">
      <c r="A2070" s="10"/>
      <c r="B2070" s="22"/>
      <c r="C2070" s="10"/>
      <c r="D2070" s="10"/>
      <c r="E2070" s="23"/>
      <c r="F2070" s="26"/>
    </row>
    <row r="2071">
      <c r="A2071" s="10"/>
      <c r="B2071" s="22"/>
      <c r="C2071" s="10"/>
      <c r="D2071" s="10"/>
      <c r="E2071" s="23"/>
      <c r="F2071" s="26"/>
    </row>
    <row r="2072">
      <c r="A2072" s="10"/>
      <c r="B2072" s="22"/>
      <c r="C2072" s="10"/>
      <c r="D2072" s="10"/>
      <c r="E2072" s="23"/>
      <c r="F2072" s="26"/>
    </row>
    <row r="2073">
      <c r="A2073" s="10"/>
      <c r="B2073" s="22"/>
      <c r="C2073" s="10"/>
      <c r="D2073" s="10"/>
      <c r="E2073" s="23"/>
      <c r="F2073" s="26"/>
    </row>
    <row r="2074">
      <c r="A2074" s="10"/>
      <c r="B2074" s="22"/>
      <c r="C2074" s="10"/>
      <c r="D2074" s="10"/>
      <c r="E2074" s="23"/>
      <c r="F2074" s="26"/>
    </row>
    <row r="2075">
      <c r="A2075" s="10"/>
      <c r="B2075" s="22"/>
      <c r="C2075" s="10"/>
      <c r="D2075" s="10"/>
      <c r="E2075" s="23"/>
      <c r="F2075" s="26"/>
    </row>
    <row r="2076">
      <c r="A2076" s="10"/>
      <c r="B2076" s="22"/>
      <c r="C2076" s="10"/>
      <c r="D2076" s="10"/>
      <c r="E2076" s="23"/>
      <c r="F2076" s="26"/>
    </row>
    <row r="2077">
      <c r="A2077" s="10"/>
      <c r="B2077" s="22"/>
      <c r="C2077" s="10"/>
      <c r="D2077" s="10"/>
      <c r="E2077" s="23"/>
      <c r="F2077" s="26"/>
    </row>
    <row r="2078">
      <c r="A2078" s="10"/>
      <c r="B2078" s="22"/>
      <c r="C2078" s="10"/>
      <c r="D2078" s="10"/>
      <c r="E2078" s="23"/>
      <c r="F2078" s="26"/>
    </row>
    <row r="2079">
      <c r="A2079" s="10"/>
      <c r="B2079" s="22"/>
      <c r="C2079" s="10"/>
      <c r="D2079" s="10"/>
      <c r="E2079" s="23"/>
      <c r="F2079" s="26"/>
    </row>
    <row r="2080">
      <c r="A2080" s="10"/>
      <c r="B2080" s="22"/>
      <c r="C2080" s="10"/>
      <c r="D2080" s="10"/>
      <c r="E2080" s="23"/>
      <c r="F2080" s="26"/>
    </row>
    <row r="2081">
      <c r="A2081" s="10"/>
      <c r="B2081" s="22"/>
      <c r="C2081" s="10"/>
      <c r="D2081" s="10"/>
      <c r="E2081" s="23"/>
      <c r="F2081" s="26"/>
    </row>
    <row r="2082">
      <c r="A2082" s="10"/>
      <c r="B2082" s="22"/>
      <c r="C2082" s="10"/>
      <c r="D2082" s="10"/>
      <c r="E2082" s="23"/>
      <c r="F2082" s="26"/>
    </row>
    <row r="2083">
      <c r="A2083" s="10"/>
      <c r="B2083" s="22"/>
      <c r="C2083" s="10"/>
      <c r="D2083" s="10"/>
      <c r="E2083" s="23"/>
      <c r="F2083" s="26"/>
    </row>
    <row r="2084">
      <c r="A2084" s="10"/>
      <c r="B2084" s="22"/>
      <c r="C2084" s="10"/>
      <c r="D2084" s="10"/>
      <c r="E2084" s="23"/>
      <c r="F2084" s="26"/>
    </row>
    <row r="2085">
      <c r="A2085" s="10"/>
      <c r="B2085" s="22"/>
      <c r="C2085" s="10"/>
      <c r="D2085" s="10"/>
      <c r="E2085" s="23"/>
      <c r="F2085" s="26"/>
    </row>
    <row r="2086">
      <c r="A2086" s="10"/>
      <c r="B2086" s="22"/>
      <c r="C2086" s="10"/>
      <c r="D2086" s="10"/>
      <c r="E2086" s="23"/>
      <c r="F2086" s="26"/>
    </row>
    <row r="2087">
      <c r="A2087" s="10"/>
      <c r="B2087" s="22"/>
      <c r="C2087" s="10"/>
      <c r="D2087" s="10"/>
      <c r="E2087" s="23"/>
      <c r="F2087" s="26"/>
    </row>
    <row r="2088">
      <c r="A2088" s="10"/>
      <c r="B2088" s="22"/>
      <c r="C2088" s="10"/>
      <c r="D2088" s="10"/>
      <c r="E2088" s="23"/>
      <c r="F2088" s="26"/>
    </row>
    <row r="2089">
      <c r="A2089" s="10"/>
      <c r="B2089" s="22"/>
      <c r="C2089" s="10"/>
      <c r="D2089" s="10"/>
      <c r="E2089" s="23"/>
      <c r="F2089" s="26"/>
    </row>
    <row r="2090">
      <c r="A2090" s="10"/>
      <c r="B2090" s="22"/>
      <c r="C2090" s="10"/>
      <c r="D2090" s="10"/>
      <c r="E2090" s="23"/>
      <c r="F2090" s="26"/>
    </row>
    <row r="2091">
      <c r="A2091" s="10"/>
      <c r="B2091" s="22"/>
      <c r="C2091" s="10"/>
      <c r="D2091" s="10"/>
      <c r="E2091" s="23"/>
      <c r="F2091" s="26"/>
    </row>
    <row r="2092">
      <c r="A2092" s="10"/>
      <c r="B2092" s="22"/>
      <c r="C2092" s="10"/>
      <c r="D2092" s="10"/>
      <c r="E2092" s="23"/>
      <c r="F2092" s="26"/>
    </row>
    <row r="2093">
      <c r="A2093" s="10"/>
      <c r="B2093" s="22"/>
      <c r="C2093" s="10"/>
      <c r="D2093" s="10"/>
      <c r="E2093" s="23"/>
      <c r="F2093" s="26"/>
    </row>
    <row r="2094">
      <c r="A2094" s="10"/>
      <c r="B2094" s="22"/>
      <c r="C2094" s="10"/>
      <c r="D2094" s="10"/>
      <c r="E2094" s="23"/>
      <c r="F2094" s="26"/>
    </row>
    <row r="2095">
      <c r="A2095" s="10"/>
      <c r="B2095" s="22"/>
      <c r="C2095" s="10"/>
      <c r="D2095" s="10"/>
      <c r="E2095" s="23"/>
      <c r="F2095" s="26"/>
    </row>
    <row r="2096">
      <c r="A2096" s="10"/>
      <c r="B2096" s="22"/>
      <c r="C2096" s="10"/>
      <c r="D2096" s="10"/>
      <c r="E2096" s="23"/>
      <c r="F2096" s="26"/>
    </row>
    <row r="2097">
      <c r="A2097" s="10"/>
      <c r="B2097" s="22"/>
      <c r="C2097" s="10"/>
      <c r="D2097" s="10"/>
      <c r="E2097" s="23"/>
      <c r="F2097" s="26"/>
    </row>
    <row r="2098">
      <c r="A2098" s="10"/>
      <c r="B2098" s="22"/>
      <c r="C2098" s="10"/>
      <c r="D2098" s="10"/>
      <c r="E2098" s="23"/>
      <c r="F2098" s="26"/>
    </row>
    <row r="2099">
      <c r="A2099" s="10"/>
      <c r="B2099" s="22"/>
      <c r="C2099" s="10"/>
      <c r="D2099" s="10"/>
      <c r="E2099" s="23"/>
      <c r="F2099" s="26"/>
    </row>
    <row r="2100">
      <c r="A2100" s="10"/>
      <c r="B2100" s="22"/>
      <c r="C2100" s="10"/>
      <c r="D2100" s="10"/>
      <c r="E2100" s="23"/>
      <c r="F2100" s="26"/>
    </row>
    <row r="2101">
      <c r="A2101" s="10"/>
      <c r="B2101" s="22"/>
      <c r="C2101" s="10"/>
      <c r="D2101" s="10"/>
      <c r="E2101" s="23"/>
      <c r="F2101" s="26"/>
    </row>
    <row r="2102">
      <c r="A2102" s="10"/>
      <c r="B2102" s="22"/>
      <c r="C2102" s="10"/>
      <c r="D2102" s="10"/>
      <c r="E2102" s="23"/>
      <c r="F2102" s="26"/>
    </row>
    <row r="2103">
      <c r="A2103" s="10"/>
      <c r="B2103" s="22"/>
      <c r="C2103" s="10"/>
      <c r="D2103" s="10"/>
      <c r="E2103" s="23"/>
      <c r="F2103" s="26"/>
    </row>
    <row r="2104">
      <c r="A2104" s="10"/>
      <c r="B2104" s="22"/>
      <c r="C2104" s="10"/>
      <c r="D2104" s="10"/>
      <c r="E2104" s="23"/>
      <c r="F2104" s="26"/>
    </row>
    <row r="2105">
      <c r="A2105" s="10"/>
      <c r="B2105" s="22"/>
      <c r="C2105" s="10"/>
      <c r="D2105" s="10"/>
      <c r="E2105" s="23"/>
      <c r="F2105" s="26"/>
    </row>
    <row r="2106">
      <c r="A2106" s="10"/>
      <c r="B2106" s="22"/>
      <c r="C2106" s="10"/>
      <c r="D2106" s="10"/>
      <c r="E2106" s="23"/>
      <c r="F2106" s="26"/>
    </row>
    <row r="2107">
      <c r="A2107" s="10"/>
      <c r="B2107" s="22"/>
      <c r="C2107" s="10"/>
      <c r="D2107" s="10"/>
      <c r="E2107" s="23"/>
      <c r="F2107" s="26"/>
    </row>
    <row r="2108">
      <c r="A2108" s="10"/>
      <c r="B2108" s="22"/>
      <c r="C2108" s="10"/>
      <c r="D2108" s="10"/>
      <c r="E2108" s="23"/>
      <c r="F2108" s="26"/>
    </row>
    <row r="2109">
      <c r="A2109" s="10"/>
      <c r="B2109" s="22"/>
      <c r="C2109" s="10"/>
      <c r="D2109" s="10"/>
      <c r="E2109" s="23"/>
      <c r="F2109" s="26"/>
    </row>
    <row r="2110">
      <c r="A2110" s="10"/>
      <c r="B2110" s="22"/>
      <c r="C2110" s="10"/>
      <c r="D2110" s="10"/>
      <c r="E2110" s="23"/>
      <c r="F2110" s="26"/>
    </row>
    <row r="2111">
      <c r="A2111" s="10"/>
      <c r="B2111" s="22"/>
      <c r="C2111" s="10"/>
      <c r="D2111" s="10"/>
      <c r="E2111" s="23"/>
      <c r="F2111" s="26"/>
    </row>
    <row r="2112">
      <c r="A2112" s="10"/>
      <c r="B2112" s="22"/>
      <c r="C2112" s="10"/>
      <c r="D2112" s="10"/>
      <c r="E2112" s="23"/>
      <c r="F2112" s="26"/>
    </row>
    <row r="2113">
      <c r="A2113" s="10"/>
      <c r="B2113" s="22"/>
      <c r="C2113" s="10"/>
      <c r="D2113" s="10"/>
      <c r="E2113" s="23"/>
      <c r="F2113" s="26"/>
    </row>
    <row r="2114">
      <c r="A2114" s="10"/>
      <c r="B2114" s="22"/>
      <c r="C2114" s="10"/>
      <c r="D2114" s="10"/>
      <c r="E2114" s="23"/>
      <c r="F2114" s="26"/>
    </row>
    <row r="2115">
      <c r="A2115" s="10"/>
      <c r="B2115" s="22"/>
      <c r="C2115" s="10"/>
      <c r="D2115" s="10"/>
      <c r="E2115" s="23"/>
      <c r="F2115" s="26"/>
    </row>
    <row r="2116">
      <c r="A2116" s="10"/>
      <c r="B2116" s="22"/>
      <c r="C2116" s="10"/>
      <c r="D2116" s="10"/>
      <c r="E2116" s="23"/>
      <c r="F2116" s="26"/>
    </row>
    <row r="2117">
      <c r="A2117" s="10"/>
      <c r="B2117" s="22"/>
      <c r="C2117" s="10"/>
      <c r="D2117" s="10"/>
      <c r="E2117" s="23"/>
      <c r="F2117" s="26"/>
    </row>
    <row r="2118">
      <c r="A2118" s="10"/>
      <c r="B2118" s="22"/>
      <c r="C2118" s="10"/>
      <c r="D2118" s="10"/>
      <c r="E2118" s="23"/>
      <c r="F2118" s="26"/>
    </row>
    <row r="2119">
      <c r="A2119" s="10"/>
      <c r="B2119" s="22"/>
      <c r="C2119" s="10"/>
      <c r="D2119" s="10"/>
      <c r="E2119" s="23"/>
      <c r="F2119" s="26"/>
    </row>
    <row r="2120">
      <c r="A2120" s="10"/>
      <c r="B2120" s="22"/>
      <c r="C2120" s="10"/>
      <c r="D2120" s="10"/>
      <c r="E2120" s="23"/>
      <c r="F2120" s="26"/>
    </row>
    <row r="2121">
      <c r="A2121" s="10"/>
      <c r="B2121" s="22"/>
      <c r="C2121" s="10"/>
      <c r="D2121" s="10"/>
      <c r="E2121" s="23"/>
      <c r="F2121" s="26"/>
    </row>
    <row r="2122">
      <c r="A2122" s="10"/>
      <c r="B2122" s="22"/>
      <c r="C2122" s="10"/>
      <c r="D2122" s="10"/>
      <c r="E2122" s="23"/>
      <c r="F2122" s="26"/>
    </row>
    <row r="2123">
      <c r="A2123" s="10"/>
      <c r="B2123" s="22"/>
      <c r="C2123" s="10"/>
      <c r="D2123" s="10"/>
      <c r="E2123" s="23"/>
      <c r="F2123" s="26"/>
    </row>
    <row r="2124">
      <c r="A2124" s="10"/>
      <c r="B2124" s="22"/>
      <c r="C2124" s="10"/>
      <c r="D2124" s="10"/>
      <c r="E2124" s="23"/>
      <c r="F2124" s="26"/>
    </row>
    <row r="2125">
      <c r="A2125" s="10"/>
      <c r="B2125" s="22"/>
      <c r="C2125" s="10"/>
      <c r="D2125" s="10"/>
      <c r="E2125" s="23"/>
      <c r="F2125" s="26"/>
    </row>
    <row r="2126">
      <c r="A2126" s="10"/>
      <c r="B2126" s="22"/>
      <c r="C2126" s="10"/>
      <c r="D2126" s="10"/>
      <c r="E2126" s="23"/>
      <c r="F2126" s="26"/>
    </row>
    <row r="2127">
      <c r="A2127" s="10"/>
      <c r="B2127" s="22"/>
      <c r="C2127" s="10"/>
      <c r="D2127" s="10"/>
      <c r="E2127" s="23"/>
      <c r="F2127" s="26"/>
    </row>
    <row r="2128">
      <c r="A2128" s="10"/>
      <c r="B2128" s="22"/>
      <c r="C2128" s="10"/>
      <c r="D2128" s="10"/>
      <c r="E2128" s="23"/>
      <c r="F2128" s="26"/>
    </row>
    <row r="2129">
      <c r="A2129" s="10"/>
      <c r="B2129" s="22"/>
      <c r="C2129" s="10"/>
      <c r="D2129" s="10"/>
      <c r="E2129" s="23"/>
      <c r="F2129" s="26"/>
    </row>
    <row r="2130">
      <c r="A2130" s="10"/>
      <c r="B2130" s="22"/>
      <c r="C2130" s="10"/>
      <c r="D2130" s="10"/>
      <c r="E2130" s="23"/>
      <c r="F2130" s="26"/>
    </row>
    <row r="2131">
      <c r="A2131" s="10"/>
      <c r="B2131" s="22"/>
      <c r="C2131" s="10"/>
      <c r="D2131" s="10"/>
      <c r="E2131" s="23"/>
      <c r="F2131" s="26"/>
    </row>
    <row r="2132">
      <c r="A2132" s="10"/>
      <c r="B2132" s="22"/>
      <c r="C2132" s="10"/>
      <c r="D2132" s="10"/>
      <c r="E2132" s="23"/>
      <c r="F2132" s="26"/>
    </row>
    <row r="2133">
      <c r="A2133" s="10"/>
      <c r="B2133" s="22"/>
      <c r="C2133" s="10"/>
      <c r="D2133" s="10"/>
      <c r="E2133" s="23"/>
      <c r="F2133" s="26"/>
    </row>
    <row r="2134">
      <c r="A2134" s="10"/>
      <c r="B2134" s="22"/>
      <c r="C2134" s="10"/>
      <c r="D2134" s="10"/>
      <c r="E2134" s="23"/>
      <c r="F2134" s="26"/>
    </row>
    <row r="2135">
      <c r="A2135" s="10"/>
      <c r="B2135" s="22"/>
      <c r="C2135" s="10"/>
      <c r="D2135" s="10"/>
      <c r="E2135" s="23"/>
      <c r="F2135" s="26"/>
    </row>
    <row r="2136">
      <c r="A2136" s="10"/>
      <c r="B2136" s="22"/>
      <c r="C2136" s="10"/>
      <c r="D2136" s="10"/>
      <c r="E2136" s="23"/>
      <c r="F2136" s="26"/>
    </row>
    <row r="2137">
      <c r="A2137" s="10"/>
      <c r="B2137" s="22"/>
      <c r="C2137" s="10"/>
      <c r="D2137" s="10"/>
      <c r="E2137" s="23"/>
      <c r="F2137" s="26"/>
    </row>
    <row r="2138">
      <c r="A2138" s="10"/>
      <c r="B2138" s="22"/>
      <c r="C2138" s="10"/>
      <c r="D2138" s="10"/>
      <c r="E2138" s="23"/>
      <c r="F2138" s="26"/>
    </row>
    <row r="2139">
      <c r="A2139" s="10"/>
      <c r="B2139" s="22"/>
      <c r="C2139" s="10"/>
      <c r="D2139" s="10"/>
      <c r="E2139" s="23"/>
      <c r="F2139" s="26"/>
    </row>
    <row r="2140">
      <c r="A2140" s="10"/>
      <c r="B2140" s="22"/>
      <c r="C2140" s="10"/>
      <c r="D2140" s="10"/>
      <c r="E2140" s="23"/>
      <c r="F2140" s="26"/>
    </row>
    <row r="2141">
      <c r="A2141" s="10"/>
      <c r="B2141" s="22"/>
      <c r="C2141" s="10"/>
      <c r="D2141" s="10"/>
      <c r="E2141" s="23"/>
      <c r="F2141" s="26"/>
    </row>
    <row r="2142">
      <c r="A2142" s="10"/>
      <c r="B2142" s="22"/>
      <c r="C2142" s="10"/>
      <c r="D2142" s="10"/>
      <c r="E2142" s="23"/>
      <c r="F2142" s="26"/>
    </row>
    <row r="2143">
      <c r="A2143" s="10"/>
      <c r="B2143" s="22"/>
      <c r="C2143" s="10"/>
      <c r="D2143" s="10"/>
      <c r="E2143" s="23"/>
      <c r="F2143" s="26"/>
    </row>
    <row r="2144">
      <c r="A2144" s="10"/>
      <c r="B2144" s="22"/>
      <c r="C2144" s="10"/>
      <c r="D2144" s="10"/>
      <c r="E2144" s="23"/>
      <c r="F2144" s="26"/>
    </row>
    <row r="2145">
      <c r="A2145" s="10"/>
      <c r="B2145" s="22"/>
      <c r="C2145" s="10"/>
      <c r="D2145" s="10"/>
      <c r="E2145" s="23"/>
      <c r="F2145" s="26"/>
    </row>
    <row r="2146">
      <c r="A2146" s="10"/>
      <c r="B2146" s="22"/>
      <c r="C2146" s="10"/>
      <c r="D2146" s="10"/>
      <c r="E2146" s="23"/>
      <c r="F2146" s="26"/>
    </row>
    <row r="2147">
      <c r="A2147" s="10"/>
      <c r="B2147" s="22"/>
      <c r="C2147" s="10"/>
      <c r="D2147" s="10"/>
      <c r="E2147" s="23"/>
      <c r="F2147" s="26"/>
    </row>
    <row r="2148">
      <c r="A2148" s="10"/>
      <c r="B2148" s="22"/>
      <c r="C2148" s="10"/>
      <c r="D2148" s="10"/>
      <c r="E2148" s="23"/>
      <c r="F2148" s="26"/>
    </row>
    <row r="2149">
      <c r="A2149" s="10"/>
      <c r="B2149" s="22"/>
      <c r="C2149" s="10"/>
      <c r="D2149" s="10"/>
      <c r="E2149" s="23"/>
      <c r="F2149" s="26"/>
    </row>
    <row r="2150">
      <c r="A2150" s="10"/>
      <c r="B2150" s="22"/>
      <c r="C2150" s="10"/>
      <c r="D2150" s="10"/>
      <c r="E2150" s="23"/>
      <c r="F2150" s="26"/>
    </row>
    <row r="2151">
      <c r="A2151" s="10"/>
      <c r="B2151" s="22"/>
      <c r="C2151" s="10"/>
      <c r="D2151" s="10"/>
      <c r="E2151" s="23"/>
      <c r="F2151" s="26"/>
    </row>
    <row r="2152">
      <c r="A2152" s="10"/>
      <c r="B2152" s="22"/>
      <c r="C2152" s="10"/>
      <c r="D2152" s="10"/>
      <c r="E2152" s="23"/>
      <c r="F2152" s="26"/>
    </row>
    <row r="2153">
      <c r="A2153" s="10"/>
      <c r="B2153" s="22"/>
      <c r="C2153" s="10"/>
      <c r="D2153" s="10"/>
      <c r="E2153" s="23"/>
      <c r="F2153" s="26"/>
    </row>
    <row r="2154">
      <c r="A2154" s="10"/>
      <c r="B2154" s="22"/>
      <c r="C2154" s="10"/>
      <c r="D2154" s="10"/>
      <c r="E2154" s="23"/>
      <c r="F2154" s="26"/>
    </row>
    <row r="2155">
      <c r="A2155" s="10"/>
      <c r="B2155" s="22"/>
      <c r="C2155" s="10"/>
      <c r="D2155" s="10"/>
      <c r="E2155" s="23"/>
      <c r="F2155" s="26"/>
    </row>
    <row r="2156">
      <c r="A2156" s="10"/>
      <c r="B2156" s="22"/>
      <c r="C2156" s="10"/>
      <c r="D2156" s="10"/>
      <c r="E2156" s="23"/>
      <c r="F2156" s="26"/>
    </row>
    <row r="2157">
      <c r="A2157" s="10"/>
      <c r="B2157" s="22"/>
      <c r="C2157" s="10"/>
      <c r="D2157" s="10"/>
      <c r="E2157" s="23"/>
      <c r="F2157" s="26"/>
    </row>
    <row r="2158">
      <c r="A2158" s="10"/>
      <c r="B2158" s="22"/>
      <c r="C2158" s="10"/>
      <c r="D2158" s="10"/>
      <c r="E2158" s="23"/>
      <c r="F2158" s="26"/>
    </row>
    <row r="2159">
      <c r="A2159" s="10"/>
      <c r="B2159" s="22"/>
      <c r="C2159" s="10"/>
      <c r="D2159" s="10"/>
      <c r="E2159" s="23"/>
      <c r="F2159" s="26"/>
    </row>
    <row r="2160">
      <c r="A2160" s="10"/>
      <c r="B2160" s="22"/>
      <c r="C2160" s="10"/>
      <c r="D2160" s="10"/>
      <c r="E2160" s="23"/>
      <c r="F2160" s="26"/>
    </row>
    <row r="2161">
      <c r="A2161" s="10"/>
      <c r="B2161" s="22"/>
      <c r="C2161" s="10"/>
      <c r="D2161" s="10"/>
      <c r="E2161" s="23"/>
      <c r="F2161" s="26"/>
    </row>
    <row r="2162">
      <c r="A2162" s="10"/>
      <c r="B2162" s="22"/>
      <c r="C2162" s="10"/>
      <c r="D2162" s="10"/>
      <c r="E2162" s="23"/>
      <c r="F2162" s="26"/>
    </row>
    <row r="2163">
      <c r="A2163" s="10"/>
      <c r="B2163" s="22"/>
      <c r="C2163" s="10"/>
      <c r="D2163" s="10"/>
      <c r="E2163" s="23"/>
      <c r="F2163" s="26"/>
    </row>
    <row r="2164">
      <c r="A2164" s="10"/>
      <c r="B2164" s="22"/>
      <c r="C2164" s="10"/>
      <c r="D2164" s="10"/>
      <c r="E2164" s="23"/>
      <c r="F2164" s="26"/>
    </row>
    <row r="2165">
      <c r="A2165" s="10"/>
      <c r="B2165" s="22"/>
      <c r="C2165" s="10"/>
      <c r="D2165" s="10"/>
      <c r="E2165" s="23"/>
      <c r="F2165" s="26"/>
    </row>
    <row r="2166">
      <c r="A2166" s="10"/>
      <c r="B2166" s="22"/>
      <c r="C2166" s="10"/>
      <c r="D2166" s="10"/>
      <c r="E2166" s="23"/>
      <c r="F2166" s="26"/>
    </row>
    <row r="2167">
      <c r="A2167" s="10"/>
      <c r="B2167" s="22"/>
      <c r="C2167" s="10"/>
      <c r="D2167" s="10"/>
      <c r="E2167" s="23"/>
      <c r="F2167" s="26"/>
    </row>
    <row r="2168">
      <c r="A2168" s="10"/>
      <c r="B2168" s="22"/>
      <c r="C2168" s="10"/>
      <c r="D2168" s="10"/>
      <c r="E2168" s="23"/>
      <c r="F2168" s="26"/>
    </row>
    <row r="2169">
      <c r="A2169" s="10"/>
      <c r="B2169" s="22"/>
      <c r="C2169" s="10"/>
      <c r="D2169" s="10"/>
      <c r="E2169" s="23"/>
      <c r="F2169" s="26"/>
    </row>
    <row r="2170">
      <c r="A2170" s="10"/>
      <c r="B2170" s="22"/>
      <c r="C2170" s="10"/>
      <c r="D2170" s="10"/>
      <c r="E2170" s="23"/>
      <c r="F2170" s="26"/>
    </row>
    <row r="2171">
      <c r="A2171" s="10"/>
      <c r="B2171" s="22"/>
      <c r="C2171" s="10"/>
      <c r="D2171" s="10"/>
      <c r="E2171" s="23"/>
      <c r="F2171" s="26"/>
    </row>
    <row r="2172">
      <c r="A2172" s="10"/>
      <c r="B2172" s="22"/>
      <c r="C2172" s="10"/>
      <c r="D2172" s="10"/>
      <c r="E2172" s="23"/>
      <c r="F2172" s="26"/>
    </row>
    <row r="2173">
      <c r="A2173" s="10"/>
      <c r="B2173" s="22"/>
      <c r="C2173" s="10"/>
      <c r="D2173" s="10"/>
      <c r="E2173" s="23"/>
      <c r="F2173" s="26"/>
    </row>
    <row r="2174">
      <c r="A2174" s="10"/>
      <c r="B2174" s="22"/>
      <c r="C2174" s="10"/>
      <c r="D2174" s="10"/>
      <c r="E2174" s="23"/>
      <c r="F2174" s="26"/>
    </row>
    <row r="2175">
      <c r="A2175" s="10"/>
      <c r="B2175" s="22"/>
      <c r="C2175" s="10"/>
      <c r="D2175" s="10"/>
      <c r="E2175" s="23"/>
      <c r="F2175" s="26"/>
    </row>
    <row r="2176">
      <c r="A2176" s="10"/>
      <c r="B2176" s="22"/>
      <c r="C2176" s="10"/>
      <c r="D2176" s="10"/>
      <c r="E2176" s="23"/>
      <c r="F2176" s="26"/>
    </row>
    <row r="2177">
      <c r="A2177" s="10"/>
      <c r="B2177" s="22"/>
      <c r="C2177" s="10"/>
      <c r="D2177" s="10"/>
      <c r="E2177" s="23"/>
      <c r="F2177" s="26"/>
    </row>
    <row r="2178">
      <c r="A2178" s="10"/>
      <c r="B2178" s="22"/>
      <c r="C2178" s="10"/>
      <c r="D2178" s="10"/>
      <c r="E2178" s="23"/>
      <c r="F2178" s="26"/>
    </row>
    <row r="2179">
      <c r="A2179" s="10"/>
      <c r="B2179" s="22"/>
      <c r="C2179" s="10"/>
      <c r="D2179" s="10"/>
      <c r="E2179" s="23"/>
      <c r="F2179" s="26"/>
    </row>
    <row r="2180">
      <c r="A2180" s="10"/>
      <c r="B2180" s="22"/>
      <c r="C2180" s="10"/>
      <c r="D2180" s="10"/>
      <c r="E2180" s="23"/>
      <c r="F2180" s="26"/>
    </row>
    <row r="2181">
      <c r="A2181" s="10"/>
      <c r="B2181" s="22"/>
      <c r="C2181" s="10"/>
      <c r="D2181" s="10"/>
      <c r="E2181" s="23"/>
      <c r="F2181" s="26"/>
    </row>
    <row r="2182">
      <c r="A2182" s="10"/>
      <c r="B2182" s="22"/>
      <c r="C2182" s="10"/>
      <c r="D2182" s="10"/>
      <c r="E2182" s="23"/>
      <c r="F2182" s="26"/>
    </row>
    <row r="2183">
      <c r="A2183" s="10"/>
      <c r="B2183" s="22"/>
      <c r="C2183" s="10"/>
      <c r="D2183" s="10"/>
      <c r="E2183" s="23"/>
      <c r="F2183" s="26"/>
    </row>
    <row r="2184">
      <c r="A2184" s="10"/>
      <c r="B2184" s="22"/>
      <c r="C2184" s="10"/>
      <c r="D2184" s="10"/>
      <c r="E2184" s="23"/>
      <c r="F2184" s="26"/>
    </row>
    <row r="2185">
      <c r="A2185" s="10"/>
      <c r="B2185" s="22"/>
      <c r="C2185" s="10"/>
      <c r="D2185" s="10"/>
      <c r="E2185" s="23"/>
      <c r="F2185" s="26"/>
    </row>
    <row r="2186">
      <c r="A2186" s="10"/>
      <c r="B2186" s="22"/>
      <c r="C2186" s="10"/>
      <c r="D2186" s="10"/>
      <c r="E2186" s="23"/>
      <c r="F2186" s="26"/>
    </row>
    <row r="2187">
      <c r="A2187" s="10"/>
      <c r="B2187" s="22"/>
      <c r="C2187" s="10"/>
      <c r="D2187" s="10"/>
      <c r="E2187" s="23"/>
      <c r="F2187" s="26"/>
    </row>
    <row r="2188">
      <c r="A2188" s="10"/>
      <c r="B2188" s="22"/>
      <c r="C2188" s="10"/>
      <c r="D2188" s="10"/>
      <c r="E2188" s="23"/>
      <c r="F2188" s="26"/>
    </row>
    <row r="2189">
      <c r="A2189" s="10"/>
      <c r="B2189" s="22"/>
      <c r="C2189" s="10"/>
      <c r="D2189" s="10"/>
      <c r="E2189" s="23"/>
      <c r="F2189" s="26"/>
    </row>
    <row r="2190">
      <c r="A2190" s="10"/>
      <c r="B2190" s="22"/>
      <c r="C2190" s="10"/>
      <c r="D2190" s="10"/>
      <c r="E2190" s="23"/>
      <c r="F2190" s="26"/>
    </row>
    <row r="2191">
      <c r="A2191" s="10"/>
      <c r="B2191" s="22"/>
      <c r="C2191" s="10"/>
      <c r="D2191" s="10"/>
      <c r="E2191" s="23"/>
      <c r="F2191" s="26"/>
    </row>
    <row r="2192">
      <c r="A2192" s="10"/>
      <c r="B2192" s="22"/>
      <c r="C2192" s="10"/>
      <c r="D2192" s="10"/>
      <c r="E2192" s="23"/>
      <c r="F2192" s="26"/>
    </row>
    <row r="2193">
      <c r="A2193" s="10"/>
      <c r="B2193" s="22"/>
      <c r="C2193" s="10"/>
      <c r="D2193" s="10"/>
      <c r="E2193" s="23"/>
      <c r="F2193" s="26"/>
    </row>
    <row r="2194">
      <c r="A2194" s="10"/>
      <c r="B2194" s="22"/>
      <c r="C2194" s="10"/>
      <c r="D2194" s="10"/>
      <c r="E2194" s="23"/>
      <c r="F2194" s="26"/>
    </row>
    <row r="2195">
      <c r="A2195" s="10"/>
      <c r="B2195" s="22"/>
      <c r="C2195" s="10"/>
      <c r="D2195" s="10"/>
      <c r="E2195" s="23"/>
      <c r="F2195" s="26"/>
    </row>
    <row r="2196">
      <c r="A2196" s="10"/>
      <c r="B2196" s="22"/>
      <c r="C2196" s="10"/>
      <c r="D2196" s="10"/>
      <c r="E2196" s="23"/>
      <c r="F2196" s="26"/>
    </row>
    <row r="2197">
      <c r="A2197" s="10"/>
      <c r="B2197" s="22"/>
      <c r="C2197" s="10"/>
      <c r="D2197" s="10"/>
      <c r="E2197" s="23"/>
      <c r="F2197" s="26"/>
    </row>
    <row r="2198">
      <c r="A2198" s="10"/>
      <c r="B2198" s="22"/>
      <c r="C2198" s="10"/>
      <c r="D2198" s="10"/>
      <c r="E2198" s="23"/>
      <c r="F2198" s="26"/>
    </row>
    <row r="2199">
      <c r="A2199" s="10"/>
      <c r="B2199" s="22"/>
      <c r="C2199" s="10"/>
      <c r="D2199" s="10"/>
      <c r="E2199" s="23"/>
      <c r="F2199" s="26"/>
    </row>
    <row r="2200">
      <c r="A2200" s="10"/>
      <c r="B2200" s="22"/>
      <c r="C2200" s="10"/>
      <c r="D2200" s="10"/>
      <c r="E2200" s="23"/>
      <c r="F2200" s="26"/>
    </row>
    <row r="2201">
      <c r="A2201" s="10"/>
      <c r="B2201" s="22"/>
      <c r="C2201" s="10"/>
      <c r="D2201" s="10"/>
      <c r="E2201" s="23"/>
      <c r="F2201" s="26"/>
    </row>
    <row r="2202">
      <c r="A2202" s="10"/>
      <c r="B2202" s="22"/>
      <c r="C2202" s="10"/>
      <c r="D2202" s="10"/>
      <c r="E2202" s="23"/>
      <c r="F2202" s="26"/>
    </row>
    <row r="2203">
      <c r="A2203" s="10"/>
      <c r="B2203" s="22"/>
      <c r="C2203" s="10"/>
      <c r="D2203" s="10"/>
      <c r="E2203" s="23"/>
      <c r="F2203" s="26"/>
    </row>
    <row r="2204">
      <c r="A2204" s="10"/>
      <c r="B2204" s="22"/>
      <c r="C2204" s="10"/>
      <c r="D2204" s="10"/>
      <c r="E2204" s="23"/>
      <c r="F2204" s="26"/>
    </row>
    <row r="2205">
      <c r="A2205" s="10"/>
      <c r="B2205" s="22"/>
      <c r="C2205" s="10"/>
      <c r="D2205" s="10"/>
      <c r="E2205" s="23"/>
      <c r="F2205" s="26"/>
    </row>
    <row r="2206">
      <c r="A2206" s="10"/>
      <c r="B2206" s="22"/>
      <c r="C2206" s="10"/>
      <c r="D2206" s="10"/>
      <c r="E2206" s="23"/>
      <c r="F2206" s="26"/>
    </row>
    <row r="2207">
      <c r="A2207" s="10"/>
      <c r="B2207" s="22"/>
      <c r="C2207" s="10"/>
      <c r="D2207" s="10"/>
      <c r="E2207" s="23"/>
      <c r="F2207" s="26"/>
    </row>
    <row r="2208">
      <c r="A2208" s="10"/>
      <c r="B2208" s="22"/>
      <c r="C2208" s="10"/>
      <c r="D2208" s="10"/>
      <c r="E2208" s="23"/>
      <c r="F2208" s="26"/>
    </row>
    <row r="2209">
      <c r="A2209" s="10"/>
      <c r="B2209" s="22"/>
      <c r="C2209" s="10"/>
      <c r="D2209" s="10"/>
      <c r="E2209" s="23"/>
      <c r="F2209" s="26"/>
    </row>
    <row r="2210">
      <c r="A2210" s="10"/>
      <c r="B2210" s="22"/>
      <c r="C2210" s="10"/>
      <c r="D2210" s="10"/>
      <c r="E2210" s="23"/>
      <c r="F2210" s="26"/>
    </row>
    <row r="2211">
      <c r="A2211" s="10"/>
      <c r="B2211" s="22"/>
      <c r="C2211" s="10"/>
      <c r="D2211" s="10"/>
      <c r="E2211" s="23"/>
      <c r="F2211" s="26"/>
    </row>
    <row r="2212">
      <c r="A2212" s="10"/>
      <c r="B2212" s="22"/>
      <c r="C2212" s="10"/>
      <c r="D2212" s="10"/>
      <c r="E2212" s="23"/>
      <c r="F2212" s="26"/>
    </row>
    <row r="2213">
      <c r="A2213" s="10"/>
      <c r="B2213" s="22"/>
      <c r="C2213" s="10"/>
      <c r="D2213" s="10"/>
      <c r="E2213" s="23"/>
      <c r="F2213" s="26"/>
    </row>
    <row r="2214">
      <c r="A2214" s="10"/>
      <c r="B2214" s="22"/>
      <c r="C2214" s="10"/>
      <c r="D2214" s="10"/>
      <c r="E2214" s="23"/>
      <c r="F2214" s="26"/>
    </row>
    <row r="2215">
      <c r="A2215" s="10"/>
      <c r="B2215" s="22"/>
      <c r="C2215" s="10"/>
      <c r="D2215" s="10"/>
      <c r="E2215" s="23"/>
      <c r="F2215" s="26"/>
    </row>
    <row r="2216">
      <c r="A2216" s="10"/>
      <c r="B2216" s="22"/>
      <c r="C2216" s="10"/>
      <c r="D2216" s="10"/>
      <c r="E2216" s="23"/>
      <c r="F2216" s="26"/>
    </row>
    <row r="2217">
      <c r="A2217" s="10"/>
      <c r="B2217" s="22"/>
      <c r="C2217" s="10"/>
      <c r="D2217" s="10"/>
      <c r="E2217" s="23"/>
      <c r="F2217" s="26"/>
    </row>
    <row r="2218">
      <c r="A2218" s="10"/>
      <c r="B2218" s="22"/>
      <c r="C2218" s="10"/>
      <c r="D2218" s="10"/>
      <c r="E2218" s="23"/>
      <c r="F2218" s="26"/>
    </row>
    <row r="2219">
      <c r="A2219" s="10"/>
      <c r="B2219" s="22"/>
      <c r="C2219" s="10"/>
      <c r="D2219" s="10"/>
      <c r="E2219" s="23"/>
      <c r="F2219" s="26"/>
    </row>
    <row r="2220">
      <c r="A2220" s="10"/>
      <c r="B2220" s="22"/>
      <c r="C2220" s="10"/>
      <c r="D2220" s="10"/>
      <c r="E2220" s="23"/>
      <c r="F2220" s="26"/>
    </row>
    <row r="2221">
      <c r="A2221" s="10"/>
      <c r="B2221" s="22"/>
      <c r="C2221" s="10"/>
      <c r="D2221" s="10"/>
      <c r="E2221" s="23"/>
      <c r="F2221" s="26"/>
    </row>
    <row r="2222">
      <c r="A2222" s="10"/>
      <c r="B2222" s="22"/>
      <c r="C2222" s="10"/>
      <c r="D2222" s="10"/>
      <c r="E2222" s="23"/>
      <c r="F2222" s="26"/>
    </row>
    <row r="2223">
      <c r="A2223" s="10"/>
      <c r="B2223" s="22"/>
      <c r="C2223" s="10"/>
      <c r="D2223" s="10"/>
      <c r="E2223" s="23"/>
      <c r="F2223" s="26"/>
    </row>
    <row r="2224">
      <c r="A2224" s="10"/>
      <c r="B2224" s="22"/>
      <c r="C2224" s="10"/>
      <c r="D2224" s="10"/>
      <c r="E2224" s="23"/>
      <c r="F2224" s="26"/>
    </row>
    <row r="2225">
      <c r="A2225" s="10"/>
      <c r="B2225" s="22"/>
      <c r="C2225" s="10"/>
      <c r="D2225" s="10"/>
      <c r="E2225" s="23"/>
      <c r="F2225" s="26"/>
    </row>
    <row r="2226">
      <c r="A2226" s="10"/>
      <c r="B2226" s="22"/>
      <c r="C2226" s="10"/>
      <c r="D2226" s="10"/>
      <c r="E2226" s="23"/>
      <c r="F2226" s="26"/>
    </row>
    <row r="2227">
      <c r="A2227" s="10"/>
      <c r="B2227" s="22"/>
      <c r="C2227" s="10"/>
      <c r="D2227" s="10"/>
      <c r="E2227" s="23"/>
      <c r="F2227" s="26"/>
    </row>
    <row r="2228">
      <c r="A2228" s="10"/>
      <c r="B2228" s="22"/>
      <c r="C2228" s="10"/>
      <c r="D2228" s="10"/>
      <c r="E2228" s="23"/>
      <c r="F2228" s="26"/>
    </row>
    <row r="2229">
      <c r="A2229" s="10"/>
      <c r="B2229" s="22"/>
      <c r="C2229" s="10"/>
      <c r="D2229" s="10"/>
      <c r="E2229" s="23"/>
      <c r="F2229" s="26"/>
    </row>
    <row r="2230">
      <c r="A2230" s="10"/>
      <c r="B2230" s="22"/>
      <c r="C2230" s="10"/>
      <c r="D2230" s="10"/>
      <c r="E2230" s="23"/>
      <c r="F2230" s="26"/>
    </row>
    <row r="2231">
      <c r="A2231" s="10"/>
      <c r="B2231" s="22"/>
      <c r="C2231" s="10"/>
      <c r="D2231" s="10"/>
      <c r="E2231" s="23"/>
      <c r="F2231" s="26"/>
    </row>
    <row r="2232">
      <c r="A2232" s="10"/>
      <c r="B2232" s="22"/>
      <c r="C2232" s="10"/>
      <c r="D2232" s="10"/>
      <c r="E2232" s="23"/>
      <c r="F2232" s="26"/>
    </row>
    <row r="2233">
      <c r="A2233" s="10"/>
      <c r="B2233" s="22"/>
      <c r="C2233" s="10"/>
      <c r="D2233" s="10"/>
      <c r="E2233" s="23"/>
      <c r="F2233" s="26"/>
    </row>
    <row r="2234">
      <c r="A2234" s="10"/>
      <c r="B2234" s="22"/>
      <c r="C2234" s="10"/>
      <c r="D2234" s="10"/>
      <c r="E2234" s="23"/>
      <c r="F2234" s="26"/>
    </row>
    <row r="2235">
      <c r="A2235" s="10"/>
      <c r="B2235" s="22"/>
      <c r="C2235" s="10"/>
      <c r="D2235" s="10"/>
      <c r="E2235" s="23"/>
      <c r="F2235" s="26"/>
    </row>
    <row r="2236">
      <c r="A2236" s="10"/>
      <c r="B2236" s="22"/>
      <c r="C2236" s="10"/>
      <c r="D2236" s="10"/>
      <c r="E2236" s="23"/>
      <c r="F2236" s="26"/>
    </row>
    <row r="2237">
      <c r="A2237" s="10"/>
      <c r="B2237" s="22"/>
      <c r="C2237" s="10"/>
      <c r="D2237" s="10"/>
      <c r="E2237" s="23"/>
      <c r="F2237" s="26"/>
    </row>
    <row r="2238">
      <c r="A2238" s="10"/>
      <c r="B2238" s="22"/>
      <c r="C2238" s="10"/>
      <c r="D2238" s="10"/>
      <c r="E2238" s="23"/>
      <c r="F2238" s="26"/>
    </row>
    <row r="2239">
      <c r="A2239" s="10"/>
      <c r="B2239" s="22"/>
      <c r="C2239" s="10"/>
      <c r="D2239" s="10"/>
      <c r="E2239" s="23"/>
      <c r="F2239" s="26"/>
    </row>
    <row r="2240">
      <c r="A2240" s="10"/>
      <c r="B2240" s="22"/>
      <c r="C2240" s="10"/>
      <c r="D2240" s="10"/>
      <c r="E2240" s="23"/>
      <c r="F2240" s="26"/>
    </row>
    <row r="2241">
      <c r="A2241" s="10"/>
      <c r="B2241" s="22"/>
      <c r="C2241" s="10"/>
      <c r="D2241" s="10"/>
      <c r="E2241" s="23"/>
      <c r="F2241" s="26"/>
    </row>
    <row r="2242">
      <c r="A2242" s="10"/>
      <c r="B2242" s="22"/>
      <c r="C2242" s="10"/>
      <c r="D2242" s="10"/>
      <c r="E2242" s="23"/>
      <c r="F2242" s="26"/>
    </row>
    <row r="2243">
      <c r="A2243" s="10"/>
      <c r="B2243" s="22"/>
      <c r="C2243" s="10"/>
      <c r="D2243" s="10"/>
      <c r="E2243" s="23"/>
      <c r="F2243" s="26"/>
    </row>
    <row r="2244">
      <c r="A2244" s="10"/>
      <c r="B2244" s="22"/>
      <c r="C2244" s="10"/>
      <c r="D2244" s="10"/>
      <c r="E2244" s="23"/>
      <c r="F2244" s="26"/>
    </row>
    <row r="2245">
      <c r="A2245" s="10"/>
      <c r="B2245" s="22"/>
      <c r="C2245" s="10"/>
      <c r="D2245" s="10"/>
      <c r="E2245" s="23"/>
      <c r="F2245" s="26"/>
    </row>
    <row r="2246">
      <c r="A2246" s="10"/>
      <c r="B2246" s="22"/>
      <c r="C2246" s="10"/>
      <c r="D2246" s="10"/>
      <c r="E2246" s="23"/>
      <c r="F2246" s="26"/>
    </row>
    <row r="2247">
      <c r="A2247" s="10"/>
      <c r="B2247" s="22"/>
      <c r="C2247" s="10"/>
      <c r="D2247" s="10"/>
      <c r="E2247" s="23"/>
      <c r="F2247" s="26"/>
    </row>
    <row r="2248">
      <c r="A2248" s="10"/>
      <c r="B2248" s="22"/>
      <c r="C2248" s="10"/>
      <c r="D2248" s="10"/>
      <c r="E2248" s="23"/>
      <c r="F2248" s="26"/>
    </row>
    <row r="2249">
      <c r="A2249" s="10"/>
      <c r="B2249" s="22"/>
      <c r="C2249" s="10"/>
      <c r="D2249" s="10"/>
      <c r="E2249" s="23"/>
      <c r="F2249" s="26"/>
    </row>
    <row r="2250">
      <c r="A2250" s="10"/>
      <c r="B2250" s="22"/>
      <c r="C2250" s="10"/>
      <c r="D2250" s="10"/>
      <c r="E2250" s="23"/>
      <c r="F2250" s="26"/>
    </row>
    <row r="2251">
      <c r="A2251" s="10"/>
      <c r="B2251" s="22"/>
      <c r="C2251" s="10"/>
      <c r="D2251" s="10"/>
      <c r="E2251" s="23"/>
      <c r="F2251" s="26"/>
    </row>
    <row r="2252">
      <c r="A2252" s="10"/>
      <c r="B2252" s="22"/>
      <c r="C2252" s="10"/>
      <c r="D2252" s="10"/>
      <c r="E2252" s="23"/>
      <c r="F2252" s="26"/>
    </row>
    <row r="2253">
      <c r="A2253" s="10"/>
      <c r="B2253" s="22"/>
      <c r="C2253" s="10"/>
      <c r="D2253" s="10"/>
      <c r="E2253" s="23"/>
      <c r="F2253" s="26"/>
    </row>
    <row r="2254">
      <c r="A2254" s="10"/>
      <c r="B2254" s="22"/>
      <c r="C2254" s="10"/>
      <c r="D2254" s="10"/>
      <c r="E2254" s="23"/>
      <c r="F2254" s="26"/>
    </row>
    <row r="2255">
      <c r="A2255" s="10"/>
      <c r="B2255" s="22"/>
      <c r="C2255" s="10"/>
      <c r="D2255" s="10"/>
      <c r="E2255" s="23"/>
      <c r="F2255" s="26"/>
    </row>
    <row r="2256">
      <c r="A2256" s="10"/>
      <c r="B2256" s="22"/>
      <c r="C2256" s="10"/>
      <c r="D2256" s="10"/>
      <c r="E2256" s="23"/>
      <c r="F2256" s="26"/>
    </row>
    <row r="2257">
      <c r="A2257" s="10"/>
      <c r="B2257" s="22"/>
      <c r="C2257" s="10"/>
      <c r="D2257" s="10"/>
      <c r="E2257" s="23"/>
      <c r="F2257" s="26"/>
    </row>
    <row r="2258">
      <c r="A2258" s="10"/>
      <c r="B2258" s="22"/>
      <c r="C2258" s="10"/>
      <c r="D2258" s="10"/>
      <c r="E2258" s="23"/>
      <c r="F2258" s="26"/>
    </row>
    <row r="2259">
      <c r="A2259" s="10"/>
      <c r="B2259" s="22"/>
      <c r="C2259" s="10"/>
      <c r="D2259" s="10"/>
      <c r="E2259" s="23"/>
      <c r="F2259" s="26"/>
    </row>
    <row r="2260">
      <c r="A2260" s="10"/>
      <c r="B2260" s="22"/>
      <c r="C2260" s="10"/>
      <c r="D2260" s="10"/>
      <c r="E2260" s="23"/>
      <c r="F2260" s="26"/>
    </row>
    <row r="2261">
      <c r="A2261" s="10"/>
      <c r="B2261" s="22"/>
      <c r="C2261" s="10"/>
      <c r="D2261" s="10"/>
      <c r="E2261" s="23"/>
      <c r="F2261" s="26"/>
    </row>
    <row r="2262">
      <c r="A2262" s="10"/>
      <c r="B2262" s="22"/>
      <c r="C2262" s="10"/>
      <c r="D2262" s="10"/>
      <c r="E2262" s="23"/>
      <c r="F2262" s="26"/>
    </row>
    <row r="2263">
      <c r="A2263" s="10"/>
      <c r="B2263" s="22"/>
      <c r="C2263" s="10"/>
      <c r="D2263" s="10"/>
      <c r="E2263" s="23"/>
      <c r="F2263" s="26"/>
    </row>
    <row r="2264">
      <c r="A2264" s="10"/>
      <c r="B2264" s="22"/>
      <c r="C2264" s="10"/>
      <c r="D2264" s="10"/>
      <c r="E2264" s="23"/>
      <c r="F2264" s="26"/>
    </row>
    <row r="2265">
      <c r="A2265" s="10"/>
      <c r="B2265" s="22"/>
      <c r="C2265" s="10"/>
      <c r="D2265" s="10"/>
      <c r="E2265" s="23"/>
      <c r="F2265" s="26"/>
    </row>
    <row r="2266">
      <c r="A2266" s="10"/>
      <c r="B2266" s="22"/>
      <c r="C2266" s="10"/>
      <c r="D2266" s="10"/>
      <c r="E2266" s="23"/>
      <c r="F2266" s="26"/>
    </row>
    <row r="2267">
      <c r="A2267" s="10"/>
      <c r="B2267" s="22"/>
      <c r="C2267" s="10"/>
      <c r="D2267" s="10"/>
      <c r="E2267" s="23"/>
      <c r="F2267" s="26"/>
    </row>
    <row r="2268">
      <c r="A2268" s="10"/>
      <c r="B2268" s="22"/>
      <c r="C2268" s="10"/>
      <c r="D2268" s="10"/>
      <c r="E2268" s="23"/>
      <c r="F2268" s="26"/>
    </row>
    <row r="2269">
      <c r="A2269" s="10"/>
      <c r="B2269" s="22"/>
      <c r="C2269" s="10"/>
      <c r="D2269" s="10"/>
      <c r="E2269" s="23"/>
      <c r="F2269" s="26"/>
    </row>
    <row r="2270">
      <c r="A2270" s="10"/>
      <c r="B2270" s="22"/>
      <c r="C2270" s="10"/>
      <c r="D2270" s="10"/>
      <c r="E2270" s="23"/>
      <c r="F2270" s="26"/>
    </row>
    <row r="2271">
      <c r="A2271" s="10"/>
      <c r="B2271" s="22"/>
      <c r="C2271" s="10"/>
      <c r="D2271" s="10"/>
      <c r="E2271" s="23"/>
      <c r="F2271" s="26"/>
    </row>
    <row r="2272">
      <c r="A2272" s="10"/>
      <c r="B2272" s="22"/>
      <c r="C2272" s="10"/>
      <c r="D2272" s="10"/>
      <c r="E2272" s="23"/>
      <c r="F2272" s="26"/>
    </row>
    <row r="2273">
      <c r="A2273" s="10"/>
      <c r="B2273" s="22"/>
      <c r="C2273" s="10"/>
      <c r="D2273" s="10"/>
      <c r="E2273" s="23"/>
      <c r="F2273" s="26"/>
    </row>
    <row r="2274">
      <c r="A2274" s="10"/>
      <c r="B2274" s="22"/>
      <c r="C2274" s="10"/>
      <c r="D2274" s="10"/>
      <c r="E2274" s="23"/>
      <c r="F2274" s="26"/>
    </row>
    <row r="2275">
      <c r="A2275" s="10"/>
      <c r="B2275" s="22"/>
      <c r="C2275" s="10"/>
      <c r="D2275" s="10"/>
      <c r="E2275" s="23"/>
      <c r="F2275" s="26"/>
    </row>
    <row r="2276">
      <c r="A2276" s="10"/>
      <c r="B2276" s="22"/>
      <c r="C2276" s="10"/>
      <c r="D2276" s="10"/>
      <c r="E2276" s="23"/>
      <c r="F2276" s="26"/>
    </row>
    <row r="2277">
      <c r="A2277" s="10"/>
      <c r="B2277" s="22"/>
      <c r="C2277" s="10"/>
      <c r="D2277" s="10"/>
      <c r="E2277" s="23"/>
      <c r="F2277" s="26"/>
    </row>
    <row r="2278">
      <c r="A2278" s="10"/>
      <c r="B2278" s="22"/>
      <c r="C2278" s="10"/>
      <c r="D2278" s="10"/>
      <c r="E2278" s="23"/>
      <c r="F2278" s="26"/>
    </row>
    <row r="2279">
      <c r="A2279" s="10"/>
      <c r="B2279" s="22"/>
      <c r="C2279" s="10"/>
      <c r="D2279" s="10"/>
      <c r="E2279" s="23"/>
      <c r="F2279" s="26"/>
    </row>
    <row r="2280">
      <c r="A2280" s="10"/>
      <c r="B2280" s="22"/>
      <c r="C2280" s="10"/>
      <c r="D2280" s="10"/>
      <c r="E2280" s="23"/>
      <c r="F2280" s="26"/>
    </row>
    <row r="2281">
      <c r="A2281" s="10"/>
      <c r="B2281" s="22"/>
      <c r="C2281" s="10"/>
      <c r="D2281" s="10"/>
      <c r="E2281" s="23"/>
      <c r="F2281" s="26"/>
    </row>
    <row r="2282">
      <c r="A2282" s="10"/>
      <c r="B2282" s="22"/>
      <c r="C2282" s="10"/>
      <c r="D2282" s="10"/>
      <c r="E2282" s="23"/>
      <c r="F2282" s="26"/>
    </row>
    <row r="2283">
      <c r="A2283" s="10"/>
      <c r="B2283" s="22"/>
      <c r="C2283" s="10"/>
      <c r="D2283" s="10"/>
      <c r="E2283" s="23"/>
      <c r="F2283" s="26"/>
    </row>
    <row r="2284">
      <c r="A2284" s="10"/>
      <c r="B2284" s="22"/>
      <c r="C2284" s="10"/>
      <c r="D2284" s="10"/>
      <c r="E2284" s="23"/>
      <c r="F2284" s="26"/>
    </row>
    <row r="2285">
      <c r="A2285" s="10"/>
      <c r="B2285" s="22"/>
      <c r="C2285" s="10"/>
      <c r="D2285" s="10"/>
      <c r="E2285" s="23"/>
      <c r="F2285" s="26"/>
    </row>
    <row r="2286">
      <c r="A2286" s="10"/>
      <c r="B2286" s="22"/>
      <c r="C2286" s="10"/>
      <c r="D2286" s="10"/>
      <c r="E2286" s="23"/>
      <c r="F2286" s="26"/>
    </row>
    <row r="2287">
      <c r="A2287" s="10"/>
      <c r="B2287" s="22"/>
      <c r="C2287" s="10"/>
      <c r="D2287" s="10"/>
      <c r="E2287" s="23"/>
      <c r="F2287" s="26"/>
    </row>
    <row r="2288">
      <c r="A2288" s="10"/>
      <c r="B2288" s="22"/>
      <c r="C2288" s="10"/>
      <c r="D2288" s="10"/>
      <c r="E2288" s="23"/>
      <c r="F2288" s="26"/>
    </row>
    <row r="2289">
      <c r="A2289" s="10"/>
      <c r="B2289" s="22"/>
      <c r="C2289" s="10"/>
      <c r="D2289" s="10"/>
      <c r="E2289" s="23"/>
      <c r="F2289" s="26"/>
    </row>
    <row r="2290">
      <c r="A2290" s="10"/>
      <c r="B2290" s="22"/>
      <c r="C2290" s="10"/>
      <c r="D2290" s="10"/>
      <c r="E2290" s="23"/>
      <c r="F2290" s="26"/>
    </row>
  </sheetData>
  <autoFilter ref="$A$1:$F$1290">
    <sortState ref="A1:F1290">
      <sortCondition ref="F1:F1290"/>
    </sortState>
  </autoFilter>
  <drawing r:id="rId1"/>
</worksheet>
</file>